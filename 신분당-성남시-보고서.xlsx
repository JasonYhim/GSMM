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05 내 문서 모음\01. 업무관련 문서양식\017 지하안전점검(지하안전법) 관련\■ 연도별 지하안전점검(육안점검) 결과보고서\2026년 지하안전점검 보고서\"/>
    </mc:Choice>
  </mc:AlternateContent>
  <xr:revisionPtr revIDLastSave="0" documentId="13_ncr:1_{794FA71A-814B-4218-96D7-73EF5C6A63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Data" sheetId="1" r:id="rId1"/>
    <sheet name="V2" sheetId="2" r:id="rId2"/>
  </sheets>
  <definedNames>
    <definedName name="_xlnm.Print_Area" localSheetId="1">'V2'!$A$1:$P$38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0" i="2" l="1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9" i="2"/>
  <c r="C10" i="2"/>
  <c r="D10" i="2"/>
  <c r="I10" i="2" s="1"/>
  <c r="E10" i="2"/>
  <c r="J10" i="2" s="1"/>
  <c r="F10" i="2"/>
  <c r="K10" i="2" s="1"/>
  <c r="G10" i="2"/>
  <c r="L10" i="2" s="1"/>
  <c r="H10" i="2"/>
  <c r="C11" i="2"/>
  <c r="D11" i="2"/>
  <c r="I11" i="2" s="1"/>
  <c r="E11" i="2"/>
  <c r="F11" i="2"/>
  <c r="K11" i="2" s="1"/>
  <c r="G11" i="2"/>
  <c r="L11" i="2" s="1"/>
  <c r="H11" i="2"/>
  <c r="M11" i="2" s="1"/>
  <c r="C12" i="2"/>
  <c r="D12" i="2"/>
  <c r="I12" i="2" s="1"/>
  <c r="E12" i="2"/>
  <c r="J12" i="2" s="1"/>
  <c r="F12" i="2"/>
  <c r="K12" i="2" s="1"/>
  <c r="G12" i="2"/>
  <c r="L12" i="2" s="1"/>
  <c r="H12" i="2"/>
  <c r="C13" i="2"/>
  <c r="D13" i="2"/>
  <c r="I13" i="2" s="1"/>
  <c r="E13" i="2"/>
  <c r="J13" i="2" s="1"/>
  <c r="F13" i="2"/>
  <c r="K13" i="2" s="1"/>
  <c r="G13" i="2"/>
  <c r="L13" i="2" s="1"/>
  <c r="H13" i="2"/>
  <c r="M13" i="2" s="1"/>
  <c r="C14" i="2"/>
  <c r="D14" i="2"/>
  <c r="E14" i="2"/>
  <c r="J14" i="2" s="1"/>
  <c r="F14" i="2"/>
  <c r="K14" i="2" s="1"/>
  <c r="G14" i="2"/>
  <c r="L14" i="2" s="1"/>
  <c r="H14" i="2"/>
  <c r="C15" i="2"/>
  <c r="D15" i="2"/>
  <c r="I15" i="2" s="1"/>
  <c r="E15" i="2"/>
  <c r="J15" i="2" s="1"/>
  <c r="F15" i="2"/>
  <c r="K15" i="2" s="1"/>
  <c r="G15" i="2"/>
  <c r="L15" i="2" s="1"/>
  <c r="H15" i="2"/>
  <c r="M15" i="2" s="1"/>
  <c r="C16" i="2"/>
  <c r="D16" i="2"/>
  <c r="I16" i="2" s="1"/>
  <c r="E16" i="2"/>
  <c r="J16" i="2" s="1"/>
  <c r="F16" i="2"/>
  <c r="K16" i="2" s="1"/>
  <c r="G16" i="2"/>
  <c r="L16" i="2" s="1"/>
  <c r="H16" i="2"/>
  <c r="C17" i="2"/>
  <c r="D17" i="2"/>
  <c r="I17" i="2" s="1"/>
  <c r="E17" i="2"/>
  <c r="J17" i="2" s="1"/>
  <c r="F17" i="2"/>
  <c r="K17" i="2" s="1"/>
  <c r="G17" i="2"/>
  <c r="L17" i="2" s="1"/>
  <c r="H17" i="2"/>
  <c r="M17" i="2" s="1"/>
  <c r="C18" i="2"/>
  <c r="D18" i="2"/>
  <c r="I18" i="2" s="1"/>
  <c r="E18" i="2"/>
  <c r="J18" i="2" s="1"/>
  <c r="F18" i="2"/>
  <c r="K18" i="2" s="1"/>
  <c r="G18" i="2"/>
  <c r="L18" i="2" s="1"/>
  <c r="H18" i="2"/>
  <c r="C19" i="2"/>
  <c r="D19" i="2"/>
  <c r="I19" i="2" s="1"/>
  <c r="E19" i="2"/>
  <c r="J19" i="2" s="1"/>
  <c r="F19" i="2"/>
  <c r="K19" i="2" s="1"/>
  <c r="G19" i="2"/>
  <c r="L19" i="2" s="1"/>
  <c r="H19" i="2"/>
  <c r="M19" i="2" s="1"/>
  <c r="C20" i="2"/>
  <c r="D20" i="2"/>
  <c r="I20" i="2" s="1"/>
  <c r="E20" i="2"/>
  <c r="J20" i="2" s="1"/>
  <c r="F20" i="2"/>
  <c r="K20" i="2" s="1"/>
  <c r="G20" i="2"/>
  <c r="L20" i="2" s="1"/>
  <c r="H20" i="2"/>
  <c r="C21" i="2"/>
  <c r="D21" i="2"/>
  <c r="I21" i="2" s="1"/>
  <c r="E21" i="2"/>
  <c r="J21" i="2" s="1"/>
  <c r="F21" i="2"/>
  <c r="K21" i="2" s="1"/>
  <c r="G21" i="2"/>
  <c r="L21" i="2" s="1"/>
  <c r="H21" i="2"/>
  <c r="M21" i="2" s="1"/>
  <c r="C22" i="2"/>
  <c r="D22" i="2"/>
  <c r="I22" i="2" s="1"/>
  <c r="E22" i="2"/>
  <c r="J22" i="2" s="1"/>
  <c r="F22" i="2"/>
  <c r="K22" i="2" s="1"/>
  <c r="G22" i="2"/>
  <c r="L22" i="2" s="1"/>
  <c r="H22" i="2"/>
  <c r="M22" i="2" s="1"/>
  <c r="C23" i="2"/>
  <c r="D23" i="2"/>
  <c r="I23" i="2" s="1"/>
  <c r="E23" i="2"/>
  <c r="J23" i="2" s="1"/>
  <c r="F23" i="2"/>
  <c r="G23" i="2"/>
  <c r="L23" i="2" s="1"/>
  <c r="H23" i="2"/>
  <c r="M23" i="2" s="1"/>
  <c r="C24" i="2"/>
  <c r="D24" i="2"/>
  <c r="I24" i="2" s="1"/>
  <c r="E24" i="2"/>
  <c r="J24" i="2" s="1"/>
  <c r="F24" i="2"/>
  <c r="K24" i="2" s="1"/>
  <c r="G24" i="2"/>
  <c r="L24" i="2" s="1"/>
  <c r="H24" i="2"/>
  <c r="M24" i="2" s="1"/>
  <c r="C25" i="2"/>
  <c r="D25" i="2"/>
  <c r="I25" i="2" s="1"/>
  <c r="E25" i="2"/>
  <c r="J25" i="2" s="1"/>
  <c r="F25" i="2"/>
  <c r="G25" i="2"/>
  <c r="L25" i="2" s="1"/>
  <c r="H25" i="2"/>
  <c r="M25" i="2" s="1"/>
  <c r="C26" i="2"/>
  <c r="D26" i="2"/>
  <c r="I26" i="2" s="1"/>
  <c r="E26" i="2"/>
  <c r="J26" i="2" s="1"/>
  <c r="F26" i="2"/>
  <c r="K26" i="2" s="1"/>
  <c r="G26" i="2"/>
  <c r="L26" i="2" s="1"/>
  <c r="H26" i="2"/>
  <c r="M26" i="2" s="1"/>
  <c r="C27" i="2"/>
  <c r="D27" i="2"/>
  <c r="I27" i="2" s="1"/>
  <c r="E27" i="2"/>
  <c r="F27" i="2"/>
  <c r="G27" i="2"/>
  <c r="L27" i="2" s="1"/>
  <c r="H27" i="2"/>
  <c r="M27" i="2" s="1"/>
  <c r="C28" i="2"/>
  <c r="D28" i="2"/>
  <c r="I28" i="2" s="1"/>
  <c r="E28" i="2"/>
  <c r="J28" i="2" s="1"/>
  <c r="F28" i="2"/>
  <c r="K28" i="2" s="1"/>
  <c r="G28" i="2"/>
  <c r="L28" i="2" s="1"/>
  <c r="H28" i="2"/>
  <c r="M28" i="2" s="1"/>
  <c r="C29" i="2"/>
  <c r="D29" i="2"/>
  <c r="I29" i="2" s="1"/>
  <c r="E29" i="2"/>
  <c r="J29" i="2" s="1"/>
  <c r="F29" i="2"/>
  <c r="K29" i="2" s="1"/>
  <c r="G29" i="2"/>
  <c r="L29" i="2" s="1"/>
  <c r="H29" i="2"/>
  <c r="M29" i="2" s="1"/>
  <c r="C30" i="2"/>
  <c r="D30" i="2"/>
  <c r="I30" i="2" s="1"/>
  <c r="E30" i="2"/>
  <c r="J30" i="2" s="1"/>
  <c r="F30" i="2"/>
  <c r="K30" i="2" s="1"/>
  <c r="G30" i="2"/>
  <c r="L30" i="2" s="1"/>
  <c r="H30" i="2"/>
  <c r="M30" i="2" s="1"/>
  <c r="C31" i="2"/>
  <c r="D31" i="2"/>
  <c r="I31" i="2" s="1"/>
  <c r="E31" i="2"/>
  <c r="J31" i="2" s="1"/>
  <c r="F31" i="2"/>
  <c r="G31" i="2"/>
  <c r="L31" i="2" s="1"/>
  <c r="H31" i="2"/>
  <c r="M31" i="2" s="1"/>
  <c r="C32" i="2"/>
  <c r="D32" i="2"/>
  <c r="I32" i="2" s="1"/>
  <c r="E32" i="2"/>
  <c r="J32" i="2" s="1"/>
  <c r="F32" i="2"/>
  <c r="K32" i="2" s="1"/>
  <c r="G32" i="2"/>
  <c r="L32" i="2" s="1"/>
  <c r="H32" i="2"/>
  <c r="M32" i="2" s="1"/>
  <c r="C33" i="2"/>
  <c r="D33" i="2"/>
  <c r="I33" i="2" s="1"/>
  <c r="E33" i="2"/>
  <c r="J33" i="2" s="1"/>
  <c r="F33" i="2"/>
  <c r="K33" i="2" s="1"/>
  <c r="G33" i="2"/>
  <c r="L33" i="2" s="1"/>
  <c r="H33" i="2"/>
  <c r="M33" i="2" s="1"/>
  <c r="C34" i="2"/>
  <c r="D34" i="2"/>
  <c r="I34" i="2" s="1"/>
  <c r="E34" i="2"/>
  <c r="J34" i="2" s="1"/>
  <c r="F34" i="2"/>
  <c r="K34" i="2" s="1"/>
  <c r="G34" i="2"/>
  <c r="L34" i="2" s="1"/>
  <c r="H34" i="2"/>
  <c r="M34" i="2" s="1"/>
  <c r="C35" i="2"/>
  <c r="D35" i="2"/>
  <c r="I35" i="2" s="1"/>
  <c r="E35" i="2"/>
  <c r="J35" i="2" s="1"/>
  <c r="F35" i="2"/>
  <c r="K35" i="2" s="1"/>
  <c r="G35" i="2"/>
  <c r="L35" i="2" s="1"/>
  <c r="H35" i="2"/>
  <c r="M35" i="2" s="1"/>
  <c r="C36" i="2"/>
  <c r="D36" i="2"/>
  <c r="I36" i="2" s="1"/>
  <c r="E36" i="2"/>
  <c r="J36" i="2" s="1"/>
  <c r="F36" i="2"/>
  <c r="K36" i="2" s="1"/>
  <c r="G36" i="2"/>
  <c r="L36" i="2" s="1"/>
  <c r="H36" i="2"/>
  <c r="C37" i="2"/>
  <c r="D37" i="2"/>
  <c r="I37" i="2" s="1"/>
  <c r="E37" i="2"/>
  <c r="J37" i="2" s="1"/>
  <c r="F37" i="2"/>
  <c r="K37" i="2" s="1"/>
  <c r="G37" i="2"/>
  <c r="L37" i="2" s="1"/>
  <c r="H37" i="2"/>
  <c r="M37" i="2" s="1"/>
  <c r="C38" i="2"/>
  <c r="D38" i="2"/>
  <c r="I38" i="2" s="1"/>
  <c r="E38" i="2"/>
  <c r="J38" i="2" s="1"/>
  <c r="F38" i="2"/>
  <c r="K38" i="2" s="1"/>
  <c r="G38" i="2"/>
  <c r="L38" i="2" s="1"/>
  <c r="H38" i="2"/>
  <c r="M38" i="2" s="1"/>
  <c r="H9" i="2"/>
  <c r="M9" i="2" s="1"/>
  <c r="G9" i="2"/>
  <c r="L9" i="2" s="1"/>
  <c r="F9" i="2"/>
  <c r="K9" i="2" s="1"/>
  <c r="E9" i="2"/>
  <c r="J9" i="2" s="1"/>
  <c r="D9" i="2"/>
  <c r="C9" i="2"/>
  <c r="B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9" i="2"/>
  <c r="B38" i="2"/>
  <c r="B37" i="2"/>
  <c r="M36" i="2"/>
  <c r="B36" i="2"/>
  <c r="B35" i="2"/>
  <c r="B34" i="2"/>
  <c r="B33" i="2"/>
  <c r="B32" i="2"/>
  <c r="K31" i="2"/>
  <c r="B31" i="2"/>
  <c r="B30" i="2"/>
  <c r="B29" i="2"/>
  <c r="B28" i="2"/>
  <c r="B27" i="2"/>
  <c r="B26" i="2"/>
  <c r="K25" i="2"/>
  <c r="B25" i="2"/>
  <c r="B24" i="2"/>
  <c r="K23" i="2"/>
  <c r="B23" i="2"/>
  <c r="B22" i="2"/>
  <c r="B21" i="2"/>
  <c r="M20" i="2"/>
  <c r="B20" i="2"/>
  <c r="B19" i="2"/>
  <c r="M18" i="2"/>
  <c r="B18" i="2"/>
  <c r="B17" i="2"/>
  <c r="M16" i="2"/>
  <c r="B16" i="2"/>
  <c r="B15" i="2"/>
  <c r="M14" i="2"/>
  <c r="I14" i="2"/>
  <c r="B14" i="2"/>
  <c r="B13" i="2"/>
  <c r="M12" i="2"/>
  <c r="B12" i="2"/>
  <c r="B11" i="2"/>
  <c r="M10" i="2"/>
  <c r="B10" i="2"/>
  <c r="I9" i="2"/>
  <c r="J5" i="2"/>
  <c r="C5" i="2"/>
  <c r="K27" i="2"/>
  <c r="J27" i="2"/>
  <c r="J11" i="2"/>
  <c r="N17" i="2" l="1"/>
  <c r="O17" i="2" s="1"/>
  <c r="N37" i="2"/>
  <c r="O37" i="2" s="1"/>
  <c r="N27" i="2"/>
  <c r="O27" i="2" s="1"/>
  <c r="N20" i="2"/>
  <c r="O20" i="2" s="1"/>
  <c r="N26" i="2"/>
  <c r="O26" i="2" s="1"/>
  <c r="N24" i="2"/>
  <c r="O24" i="2" s="1"/>
  <c r="N36" i="2"/>
  <c r="O36" i="2" s="1"/>
  <c r="N11" i="2"/>
  <c r="O11" i="2" s="1"/>
  <c r="N32" i="2"/>
  <c r="O32" i="2" s="1"/>
  <c r="N38" i="2"/>
  <c r="O38" i="2" s="1"/>
  <c r="N23" i="2"/>
  <c r="O23" i="2" s="1"/>
  <c r="N35" i="2"/>
  <c r="O35" i="2" s="1"/>
  <c r="N15" i="2"/>
  <c r="O15" i="2" s="1"/>
  <c r="N21" i="2"/>
  <c r="O21" i="2" s="1"/>
  <c r="N29" i="2"/>
  <c r="O29" i="2" s="1"/>
  <c r="N12" i="2"/>
  <c r="O12" i="2" s="1"/>
  <c r="N16" i="2"/>
  <c r="O16" i="2" s="1"/>
  <c r="N18" i="2"/>
  <c r="O18" i="2" s="1"/>
  <c r="N14" i="2"/>
  <c r="O14" i="2" s="1"/>
  <c r="N22" i="2"/>
  <c r="O22" i="2" s="1"/>
  <c r="N9" i="2"/>
  <c r="O9" i="2" s="1"/>
  <c r="N28" i="2"/>
  <c r="O28" i="2" s="1"/>
  <c r="N33" i="2"/>
  <c r="O33" i="2" s="1"/>
  <c r="N25" i="2"/>
  <c r="O25" i="2" s="1"/>
  <c r="N30" i="2"/>
  <c r="O30" i="2" s="1"/>
  <c r="N31" i="2"/>
  <c r="O31" i="2" s="1"/>
  <c r="N19" i="2"/>
  <c r="O19" i="2" s="1"/>
  <c r="N10" i="2"/>
  <c r="O10" i="2" s="1"/>
  <c r="N34" i="2"/>
  <c r="O34" i="2" s="1"/>
  <c r="N13" i="2"/>
  <c r="O13" i="2" s="1"/>
</calcChain>
</file>

<file path=xl/sharedStrings.xml><?xml version="1.0" encoding="utf-8"?>
<sst xmlns="http://schemas.openxmlformats.org/spreadsheetml/2006/main" count="883" uniqueCount="267">
  <si>
    <t>시행년도</t>
  </si>
  <si>
    <t>시행사 구분</t>
  </si>
  <si>
    <t>권역구 구분</t>
  </si>
  <si>
    <t>성남시</t>
  </si>
  <si>
    <t>순번</t>
  </si>
  <si>
    <t>조사측선명</t>
  </si>
  <si>
    <t>손상구분번호</t>
  </si>
  <si>
    <t>침하(mm)</t>
  </si>
  <si>
    <t>균열</t>
  </si>
  <si>
    <t>습윤</t>
  </si>
  <si>
    <t>노후도(년)</t>
  </si>
  <si>
    <t>지반침하발생이력</t>
  </si>
  <si>
    <t>침하점수</t>
  </si>
  <si>
    <t>균열점수</t>
  </si>
  <si>
    <t>습윤점수</t>
  </si>
  <si>
    <t>노후도점수</t>
  </si>
  <si>
    <t>보수보강이력</t>
  </si>
  <si>
    <t>평가점수</t>
  </si>
  <si>
    <t>평가등급</t>
  </si>
  <si>
    <t>조사자의견</t>
  </si>
  <si>
    <t>인접지번주소</t>
  </si>
  <si>
    <t>조사위치도</t>
  </si>
  <si>
    <t>부가정보1</t>
  </si>
  <si>
    <t>부가정보2</t>
  </si>
  <si>
    <t>판교로</t>
  </si>
  <si>
    <t>25-성남시-3</t>
  </si>
  <si>
    <t>양호</t>
  </si>
  <si>
    <t>거북등</t>
  </si>
  <si>
    <t>건조</t>
  </si>
  <si>
    <t>-</t>
  </si>
  <si>
    <t>일반</t>
  </si>
  <si>
    <t>5cm이하 침하</t>
  </si>
  <si>
    <t>삼평동 688</t>
  </si>
  <si>
    <t/>
  </si>
  <si>
    <t>한국무역정보통신 버스정류장 앞 도로</t>
  </si>
  <si>
    <t>판교역로</t>
  </si>
  <si>
    <t>25-성남시-4</t>
  </si>
  <si>
    <t>삼평동 678</t>
  </si>
  <si>
    <t>삼환하이펙스A동 주차장 입출구 앞 횡단보도</t>
  </si>
  <si>
    <t>25-성남시-5</t>
  </si>
  <si>
    <t>삼평동 679</t>
  </si>
  <si>
    <t>삼환하이펙스B동 주차장 입출구 앞 횡단보도</t>
  </si>
  <si>
    <t>대왕판교로</t>
  </si>
  <si>
    <t>25-성남시-6</t>
  </si>
  <si>
    <t>삼평동 675</t>
  </si>
  <si>
    <t>SK엔크린 주유소 앞 횡단보도</t>
  </si>
  <si>
    <t>25-성남시-7</t>
  </si>
  <si>
    <t>삼평동 662</t>
  </si>
  <si>
    <t>시즌 앞 횡단보도</t>
  </si>
  <si>
    <t>25-성남시-8</t>
  </si>
  <si>
    <t>삼평동 663</t>
  </si>
  <si>
    <t>스타벅스 앞 횡단보도</t>
  </si>
  <si>
    <t>25-성남시-9</t>
  </si>
  <si>
    <t>삼평동 651</t>
  </si>
  <si>
    <t>풍류더블랙 앞 도로</t>
  </si>
  <si>
    <t>25-성남시-10</t>
  </si>
  <si>
    <t>백현동 537-1</t>
  </si>
  <si>
    <t>판교역 #3번출구 앞 도로</t>
  </si>
  <si>
    <t>서현로</t>
  </si>
  <si>
    <t>25-성남시-11</t>
  </si>
  <si>
    <t>침하 3cm</t>
  </si>
  <si>
    <t>백현동 529-2</t>
  </si>
  <si>
    <t>낙생육교 앞 도로</t>
  </si>
  <si>
    <t>25-성남시-12</t>
  </si>
  <si>
    <t>동판교역로</t>
  </si>
  <si>
    <t>25-성남시-13</t>
  </si>
  <si>
    <t>백현동 556-3</t>
  </si>
  <si>
    <t>잿넘어육교 도로</t>
  </si>
  <si>
    <t>25-성남시-14</t>
  </si>
  <si>
    <t>백현동 558-5</t>
  </si>
  <si>
    <t>신백현초등학교 앞 도로</t>
  </si>
  <si>
    <t>25-성남시-15</t>
  </si>
  <si>
    <t>백현동 560</t>
  </si>
  <si>
    <t>블레도르 베이커리 앞 도로</t>
  </si>
  <si>
    <t>25-성남시-16</t>
  </si>
  <si>
    <t>백현동 564-5</t>
  </si>
  <si>
    <t>세븐일레븐 앞 도로</t>
  </si>
  <si>
    <t>25-성남시-17</t>
  </si>
  <si>
    <t>백현동 577-8</t>
  </si>
  <si>
    <t>연남도토리 떡갈비 앞 횡단보도</t>
  </si>
  <si>
    <t>분당수서로</t>
  </si>
  <si>
    <t>25-성남시-18</t>
  </si>
  <si>
    <t>정자동 99-1</t>
  </si>
  <si>
    <t>잡월드사거리 도로</t>
  </si>
  <si>
    <t>25-성남시-19</t>
  </si>
  <si>
    <t>성남대로</t>
  </si>
  <si>
    <t>25-성남시-20</t>
  </si>
  <si>
    <t>백궁삼거리</t>
  </si>
  <si>
    <t>궁내교 앞 도로</t>
  </si>
  <si>
    <t>25-성남시-21</t>
  </si>
  <si>
    <t>백궁삼거리 도로</t>
  </si>
  <si>
    <t>25-성남시-22</t>
  </si>
  <si>
    <t>정자동 7</t>
  </si>
  <si>
    <t>한컴아카데미 맞음편 도로</t>
  </si>
  <si>
    <t>25-성남시-23</t>
  </si>
  <si>
    <t>보도침하3cm</t>
  </si>
  <si>
    <t>궁내교 현판 앞 보도</t>
  </si>
  <si>
    <t>25-성남시-24</t>
  </si>
  <si>
    <t>보통</t>
  </si>
  <si>
    <t>보도침하5cm</t>
  </si>
  <si>
    <t>정자동 15-4</t>
  </si>
  <si>
    <t>가로등118(성남대로376) 보도</t>
  </si>
  <si>
    <t>25-성남시-25</t>
  </si>
  <si>
    <t>가로등118(성남대로376) 도로</t>
  </si>
  <si>
    <t>25-성남시-26</t>
  </si>
  <si>
    <t>궁내사거리</t>
  </si>
  <si>
    <t>궁내사거리 앞 도로</t>
  </si>
  <si>
    <t>25-성남시-27</t>
  </si>
  <si>
    <t>정자동 17-2</t>
  </si>
  <si>
    <t>정자역 #5번출구 앞 보도</t>
  </si>
  <si>
    <t>25-성남시-28</t>
  </si>
  <si>
    <t>종균열</t>
  </si>
  <si>
    <t>정자역 #5번출구 앞 도로</t>
  </si>
  <si>
    <t>25-성남시-29</t>
  </si>
  <si>
    <t>정자동 26-1</t>
  </si>
  <si>
    <t>신기교 앞 횡단보도</t>
  </si>
  <si>
    <t>25-성남시-30</t>
  </si>
  <si>
    <t>보도침하8cm</t>
  </si>
  <si>
    <t>정자역 버스정류장 보도</t>
  </si>
  <si>
    <t>25-성남시-31</t>
  </si>
  <si>
    <t>정자동 156-1</t>
  </si>
  <si>
    <t>파리바게트 앞 도로</t>
  </si>
  <si>
    <t>25-성남시-32</t>
  </si>
  <si>
    <t>횡균열</t>
  </si>
  <si>
    <t>서현실비 맞음편 도로</t>
  </si>
  <si>
    <t>25-성남시-33</t>
  </si>
  <si>
    <t>정자동 156-3</t>
  </si>
  <si>
    <t>나드림요양원 앞 도로</t>
  </si>
  <si>
    <t>25-성남시-34</t>
  </si>
  <si>
    <t>가로등103(성남대로320) 도로</t>
  </si>
  <si>
    <t>25-성남시-35</t>
  </si>
  <si>
    <t>정자동 154-1</t>
  </si>
  <si>
    <t>타임브릿지 앞 도로</t>
  </si>
  <si>
    <t>25-성남시-36</t>
  </si>
  <si>
    <t>금곡교사거리</t>
  </si>
  <si>
    <t>금곡교사거리 도로</t>
  </si>
  <si>
    <t>25-성남시-37</t>
  </si>
  <si>
    <t>정자동 168-1</t>
  </si>
  <si>
    <t>GS25편의점 앞 도로</t>
  </si>
  <si>
    <t>25-성남시-38</t>
  </si>
  <si>
    <t>제빵소 앞 도로</t>
  </si>
  <si>
    <t>25-성남시-39</t>
  </si>
  <si>
    <t>상록지하보도 앞 도로</t>
  </si>
  <si>
    <t>25-성남시-40</t>
  </si>
  <si>
    <t>정자동 169-1</t>
  </si>
  <si>
    <t>아데나펠리스 버스정류장 앞 도로</t>
  </si>
  <si>
    <t>25-성남시-41</t>
  </si>
  <si>
    <t>침하 3.5cm</t>
  </si>
  <si>
    <t>스타벅스 맞음편 도로</t>
  </si>
  <si>
    <t>25-성남시-42</t>
  </si>
  <si>
    <t>불정교사거리</t>
  </si>
  <si>
    <t>불정교사거리 도로</t>
  </si>
  <si>
    <t>26-성남시-01</t>
  </si>
  <si>
    <t>삼평동702</t>
  </si>
  <si>
    <t>휴세코 앞  횐단보도(판교로333)</t>
  </si>
  <si>
    <t>26-성남시-02</t>
  </si>
  <si>
    <t>삼평동689-1</t>
  </si>
  <si>
    <t>차그룹컨소시업 버스정류장 앞 도로</t>
  </si>
  <si>
    <t>26-성남시-03</t>
  </si>
  <si>
    <t>삼평동688-3</t>
  </si>
  <si>
    <t>한국무역정보통신 버스정류장 앞도로</t>
  </si>
  <si>
    <t>26-성남시-04</t>
  </si>
  <si>
    <t>삼평동679</t>
  </si>
  <si>
    <t>삼환하이펙스 B동 코이라멘_판교점 앞 횡단보도(판교역로230)</t>
  </si>
  <si>
    <t>26-성남시-05</t>
  </si>
  <si>
    <t>종,횡균열</t>
  </si>
  <si>
    <t>삼평동673</t>
  </si>
  <si>
    <t>솔리드카페 앞 도로(판교역로220)</t>
  </si>
  <si>
    <t>26-성남시-06</t>
  </si>
  <si>
    <t>삼평동662</t>
  </si>
  <si>
    <t>판교타워 앞 도로(판교역로192번길16</t>
  </si>
  <si>
    <t>26-성남시-07</t>
  </si>
  <si>
    <t>백현동539</t>
  </si>
  <si>
    <t>판교공영주차장 앞 횡단보도(판교역로146번길8)</t>
  </si>
  <si>
    <t>26-성남시-08</t>
  </si>
  <si>
    <t>백현동554-3</t>
  </si>
  <si>
    <t>낙생육교 버스정류장 앞 도로</t>
  </si>
  <si>
    <t>동판교로</t>
  </si>
  <si>
    <t>26-성남시-09</t>
  </si>
  <si>
    <t>백현동556-3</t>
  </si>
  <si>
    <t>잿넘어육교 밑 도로</t>
  </si>
  <si>
    <t>26-성남시-10</t>
  </si>
  <si>
    <t>백현동559</t>
  </si>
  <si>
    <t>신백현초등학교 병설유치원 앞 도로(판교역로14번길42)</t>
  </si>
  <si>
    <t>26-성남시-11</t>
  </si>
  <si>
    <t>백현동558</t>
  </si>
  <si>
    <t>백현마을8단지 아파트 입구</t>
  </si>
  <si>
    <t>26-성남시-12</t>
  </si>
  <si>
    <t>백현동560</t>
  </si>
  <si>
    <t>블레도르 앞 도로(판교역로2번길40)</t>
  </si>
  <si>
    <t>26-성남시-13</t>
  </si>
  <si>
    <t>백현동564-5</t>
  </si>
  <si>
    <t>세븐일레븐 앞 도로(판교역로14번길 20)</t>
  </si>
  <si>
    <t>26-성남시-14</t>
  </si>
  <si>
    <t>백현동578-10</t>
  </si>
  <si>
    <t>앞 도로(판교역로12)</t>
  </si>
  <si>
    <t>26-성남시-15</t>
  </si>
  <si>
    <t>정자동7</t>
  </si>
  <si>
    <t>두산위브파빌리온 앞 도로(성남대로393)</t>
  </si>
  <si>
    <t>26-성남시-16</t>
  </si>
  <si>
    <t>정자동15-1</t>
  </si>
  <si>
    <t>할머니부뚜막_정자점(성남대로389)</t>
  </si>
  <si>
    <t>26-성남시-17</t>
  </si>
  <si>
    <t>정자동15-3</t>
  </si>
  <si>
    <t>폴라리스빌딩 앞 도로(성남대로381)</t>
  </si>
  <si>
    <t>26-성남시-18</t>
  </si>
  <si>
    <t>정자동15-4</t>
  </si>
  <si>
    <t>위브제니스아파트 앞 도로(정자일로232번길25)</t>
  </si>
  <si>
    <t>26-성남시-19</t>
  </si>
  <si>
    <t>정자동17-2</t>
  </si>
  <si>
    <t>정자역 #5번출구 앞 도로(느티로22)</t>
  </si>
  <si>
    <t>26-성남시-20</t>
  </si>
  <si>
    <t>정자동17-6</t>
  </si>
  <si>
    <t>기아_분당지점 앞 도로(성남대로345)</t>
  </si>
  <si>
    <t>26-성남시-21</t>
  </si>
  <si>
    <t>정자동99-5</t>
  </si>
  <si>
    <t>정자역 프라자빌딩 맞음편 버스정류장 앞 도로(성남대로345)</t>
  </si>
  <si>
    <t>26-성남시-22</t>
  </si>
  <si>
    <t>정자동26-1</t>
  </si>
  <si>
    <t>정자역 #3번출구 앞 양차선</t>
  </si>
  <si>
    <t>26-성남시-23</t>
  </si>
  <si>
    <t>정자동156-2</t>
  </si>
  <si>
    <t>백궁프라자3 앞 양차선(성남대로331번길3-9)</t>
  </si>
  <si>
    <t>26-성남시-24</t>
  </si>
  <si>
    <t>정자동156-3</t>
  </si>
  <si>
    <t>대명제스트빌딩 앞 양차선(성남대로331번길 3-13)</t>
  </si>
  <si>
    <t>26-성남시-25</t>
  </si>
  <si>
    <t>금곡교 사거리</t>
  </si>
  <si>
    <t>26-성남시-26</t>
  </si>
  <si>
    <t>정자동168-1</t>
  </si>
  <si>
    <t>대림아크리텔 A동 앞 도로(성남대로295)</t>
  </si>
  <si>
    <t>26-성남시-27</t>
  </si>
  <si>
    <t>정자동168-4</t>
  </si>
  <si>
    <t>대림아크릴텔C동 앞 도로(성남대로295)</t>
  </si>
  <si>
    <t>26-성남시-28</t>
  </si>
  <si>
    <t>정자동99-7</t>
  </si>
  <si>
    <t>아데나팰리스 C동 맟춤정장마테아 맞음편 도로(성남대로275)</t>
  </si>
  <si>
    <t>26-성남시-29</t>
  </si>
  <si>
    <t>정자동169-1</t>
  </si>
  <si>
    <t>아데나펠리스 아데나공인중개사 앞 도로(성남대로275)</t>
  </si>
  <si>
    <t>26-성남시-30</t>
  </si>
  <si>
    <t>신분당선㈜</t>
    <phoneticPr fontId="2" type="noConversion"/>
  </si>
  <si>
    <t>○ 육안조사 결과표</t>
  </si>
  <si>
    <t>광역시도명</t>
  </si>
  <si>
    <t>서군구명</t>
  </si>
  <si>
    <t>대상시설명</t>
  </si>
  <si>
    <t>조사기간</t>
  </si>
  <si>
    <t>시설물관리자</t>
  </si>
  <si>
    <t>조사자</t>
  </si>
  <si>
    <t>신분당선</t>
  </si>
  <si>
    <t>2026-03-17~2026-05-27</t>
    <phoneticPr fontId="2" type="noConversion"/>
  </si>
  <si>
    <t>기술참여자 명단 참조</t>
  </si>
  <si>
    <t>조사결과</t>
  </si>
  <si>
    <t>평가항목별 점수</t>
  </si>
  <si>
    <t>조사자 의견</t>
  </si>
  <si>
    <t>지반침하 발생 등의 이력1) (1년 이내)</t>
  </si>
  <si>
    <t>침하</t>
  </si>
  <si>
    <t>노후도</t>
  </si>
  <si>
    <t>경기도</t>
    <phoneticPr fontId="2" type="noConversion"/>
  </si>
  <si>
    <t>-</t>
    <phoneticPr fontId="2" type="noConversion"/>
  </si>
  <si>
    <t>25-성남시-1</t>
  </si>
  <si>
    <t>삼평동 701-1</t>
  </si>
  <si>
    <t>25-성남시-2</t>
  </si>
  <si>
    <t>삼평동 689-1</t>
  </si>
  <si>
    <t>횡균열
종균열</t>
  </si>
  <si>
    <t>한화에어로 스페이스 앞 횡단보도</t>
  </si>
  <si>
    <t>궁골육교 앞 도로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</si>
</sst>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HY헤드라인M"/>
      <family val="1"/>
      <charset val="129"/>
    </font>
    <font>
      <sz val="11"/>
      <color theme="1"/>
      <name val="HY헤드라인M"/>
      <family val="1"/>
      <charset val="129"/>
    </font>
    <font>
      <sz val="9"/>
      <color theme="1"/>
      <name val="HY헤드라인M"/>
      <family val="1"/>
      <charset val="129"/>
    </font>
    <font>
      <sz val="9"/>
      <color theme="1"/>
      <name val="맑은 고딕"/>
      <family val="3"/>
      <charset val="129"/>
      <scheme val="minor"/>
    </font>
    <font>
      <sz val="6"/>
      <color theme="1"/>
      <name val="HY헤드라인M"/>
      <family val="1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5">
    <xf numFmtId="0" fontId="0" fillId="0" borderId="0" xfId="0" applyNumberFormat="1"/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1" fillId="0" borderId="0" xfId="1">
      <alignment vertical="center"/>
    </xf>
    <xf numFmtId="0" fontId="5" fillId="0" borderId="1" xfId="1" applyFont="1" applyBorder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" fillId="0" borderId="0" xfId="1" applyAlignment="1"/>
    <xf numFmtId="0" fontId="4" fillId="0" borderId="1" xfId="1" applyFont="1" applyBorder="1" applyAlignment="1">
      <alignment horizontal="center" vertical="center"/>
    </xf>
    <xf numFmtId="0" fontId="1" fillId="0" borderId="3" xfId="1" applyBorder="1" applyAlignment="1"/>
    <xf numFmtId="0" fontId="1" fillId="0" borderId="2" xfId="1" applyBorder="1" applyAlignment="1"/>
    <xf numFmtId="0" fontId="5" fillId="0" borderId="1" xfId="1" applyFont="1" applyBorder="1" applyAlignment="1">
      <alignment horizontal="center" vertical="center" wrapText="1"/>
    </xf>
    <xf numFmtId="0" fontId="1" fillId="0" borderId="4" xfId="1" applyBorder="1" applyAlignment="1"/>
    <xf numFmtId="0" fontId="5" fillId="0" borderId="1" xfId="1" applyFont="1" applyBorder="1" applyAlignment="1">
      <alignment horizontal="center" vertical="center"/>
    </xf>
  </cellXfs>
  <cellStyles count="2">
    <cellStyle name="표준" xfId="0" builtinId="0"/>
    <cellStyle name="표준 2" xfId="1" xr:uid="{60D74D81-A654-402C-8709-A9DDBB68A241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"/>
  <sheetViews>
    <sheetView tabSelected="1" workbookViewId="0">
      <selection activeCell="F11" sqref="F11"/>
    </sheetView>
  </sheetViews>
  <sheetFormatPr defaultRowHeight="17.25" x14ac:dyDescent="0.3"/>
  <sheetData>
    <row r="1" spans="1:21" x14ac:dyDescent="0.3">
      <c r="B1" t="s">
        <v>1</v>
      </c>
      <c r="C1" t="s">
        <v>2</v>
      </c>
    </row>
    <row r="2" spans="1:21" x14ac:dyDescent="0.3">
      <c r="B2" t="s">
        <v>241</v>
      </c>
      <c r="C2" t="s">
        <v>3</v>
      </c>
    </row>
    <row r="4" spans="1:21" x14ac:dyDescent="0.3">
      <c r="A4" t="s">
        <v>0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</row>
    <row r="5" spans="1:21" x14ac:dyDescent="0.3">
      <c r="A5">
        <v>2026</v>
      </c>
      <c r="B5">
        <v>1</v>
      </c>
      <c r="C5" t="s">
        <v>24</v>
      </c>
      <c r="D5" t="s">
        <v>152</v>
      </c>
      <c r="E5" t="s">
        <v>26</v>
      </c>
      <c r="F5" t="s">
        <v>123</v>
      </c>
      <c r="G5" t="s">
        <v>26</v>
      </c>
      <c r="H5">
        <v>14.5</v>
      </c>
      <c r="I5" t="s">
        <v>29</v>
      </c>
      <c r="J5">
        <v>0</v>
      </c>
      <c r="K5">
        <v>1</v>
      </c>
      <c r="L5">
        <v>0</v>
      </c>
      <c r="M5">
        <v>1</v>
      </c>
      <c r="N5">
        <v>0</v>
      </c>
      <c r="O5">
        <v>2</v>
      </c>
      <c r="P5" t="s">
        <v>30</v>
      </c>
      <c r="Q5" t="s">
        <v>29</v>
      </c>
      <c r="R5" t="s">
        <v>153</v>
      </c>
      <c r="S5" t="s">
        <v>33</v>
      </c>
      <c r="T5" t="s">
        <v>154</v>
      </c>
      <c r="U5" t="s">
        <v>33</v>
      </c>
    </row>
    <row r="6" spans="1:21" x14ac:dyDescent="0.3">
      <c r="A6">
        <v>2026</v>
      </c>
      <c r="B6">
        <v>2</v>
      </c>
      <c r="C6" t="s">
        <v>24</v>
      </c>
      <c r="D6" t="s">
        <v>155</v>
      </c>
      <c r="E6" t="s">
        <v>26</v>
      </c>
      <c r="F6" t="s">
        <v>111</v>
      </c>
      <c r="G6" t="s">
        <v>26</v>
      </c>
      <c r="H6">
        <v>14.5</v>
      </c>
      <c r="I6" t="s">
        <v>29</v>
      </c>
      <c r="J6">
        <v>0</v>
      </c>
      <c r="K6">
        <v>1</v>
      </c>
      <c r="L6">
        <v>0</v>
      </c>
      <c r="M6">
        <v>1</v>
      </c>
      <c r="N6">
        <v>0</v>
      </c>
      <c r="O6">
        <v>2</v>
      </c>
      <c r="P6" t="s">
        <v>30</v>
      </c>
      <c r="Q6" t="s">
        <v>29</v>
      </c>
      <c r="R6" t="s">
        <v>156</v>
      </c>
      <c r="S6" t="s">
        <v>33</v>
      </c>
      <c r="T6" t="s">
        <v>157</v>
      </c>
      <c r="U6" t="s">
        <v>33</v>
      </c>
    </row>
    <row r="7" spans="1:21" x14ac:dyDescent="0.3">
      <c r="A7">
        <v>2026</v>
      </c>
      <c r="B7">
        <v>3</v>
      </c>
      <c r="C7" t="s">
        <v>24</v>
      </c>
      <c r="D7" t="s">
        <v>158</v>
      </c>
      <c r="E7" t="s">
        <v>26</v>
      </c>
      <c r="F7" t="s">
        <v>259</v>
      </c>
      <c r="G7" t="s">
        <v>26</v>
      </c>
      <c r="H7">
        <v>14.5</v>
      </c>
      <c r="I7" t="s">
        <v>29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 t="s">
        <v>30</v>
      </c>
      <c r="Q7" t="s">
        <v>31</v>
      </c>
      <c r="R7" t="s">
        <v>159</v>
      </c>
      <c r="S7" t="s">
        <v>33</v>
      </c>
      <c r="T7" t="s">
        <v>160</v>
      </c>
      <c r="U7" t="s">
        <v>33</v>
      </c>
    </row>
    <row r="8" spans="1:21" x14ac:dyDescent="0.3">
      <c r="A8">
        <v>2026</v>
      </c>
      <c r="B8">
        <v>4</v>
      </c>
      <c r="C8" t="s">
        <v>35</v>
      </c>
      <c r="D8" t="s">
        <v>161</v>
      </c>
      <c r="E8" t="s">
        <v>26</v>
      </c>
      <c r="F8" t="s">
        <v>27</v>
      </c>
      <c r="G8" t="s">
        <v>26</v>
      </c>
      <c r="H8">
        <v>14.5</v>
      </c>
      <c r="I8" t="s">
        <v>29</v>
      </c>
      <c r="J8">
        <v>0</v>
      </c>
      <c r="K8">
        <v>3</v>
      </c>
      <c r="L8">
        <v>0</v>
      </c>
      <c r="M8">
        <v>1</v>
      </c>
      <c r="N8">
        <v>0</v>
      </c>
      <c r="O8">
        <v>4</v>
      </c>
      <c r="P8" t="s">
        <v>30</v>
      </c>
      <c r="Q8" t="s">
        <v>29</v>
      </c>
      <c r="R8" t="s">
        <v>162</v>
      </c>
      <c r="S8" t="s">
        <v>33</v>
      </c>
      <c r="T8" t="s">
        <v>163</v>
      </c>
      <c r="U8" t="s">
        <v>33</v>
      </c>
    </row>
    <row r="9" spans="1:21" x14ac:dyDescent="0.3">
      <c r="A9">
        <v>2026</v>
      </c>
      <c r="B9">
        <v>5</v>
      </c>
      <c r="C9" t="s">
        <v>42</v>
      </c>
      <c r="D9" t="s">
        <v>164</v>
      </c>
      <c r="E9" t="s">
        <v>26</v>
      </c>
      <c r="F9" t="s">
        <v>165</v>
      </c>
      <c r="G9" t="s">
        <v>26</v>
      </c>
      <c r="H9">
        <v>14.5</v>
      </c>
      <c r="I9" t="s">
        <v>29</v>
      </c>
      <c r="J9">
        <v>0</v>
      </c>
      <c r="K9">
        <v>1</v>
      </c>
      <c r="L9">
        <v>0</v>
      </c>
      <c r="M9">
        <v>1</v>
      </c>
      <c r="N9">
        <v>0</v>
      </c>
      <c r="O9">
        <v>2</v>
      </c>
      <c r="P9" t="s">
        <v>30</v>
      </c>
      <c r="Q9" t="s">
        <v>29</v>
      </c>
      <c r="R9" t="s">
        <v>166</v>
      </c>
      <c r="S9" t="s">
        <v>33</v>
      </c>
      <c r="T9" t="s">
        <v>167</v>
      </c>
      <c r="U9" t="s">
        <v>33</v>
      </c>
    </row>
    <row r="10" spans="1:21" x14ac:dyDescent="0.3">
      <c r="A10">
        <v>2026</v>
      </c>
      <c r="B10">
        <v>6</v>
      </c>
      <c r="C10" t="s">
        <v>35</v>
      </c>
      <c r="D10" t="s">
        <v>168</v>
      </c>
      <c r="E10" t="s">
        <v>26</v>
      </c>
      <c r="F10" t="s">
        <v>111</v>
      </c>
      <c r="G10" t="s">
        <v>26</v>
      </c>
      <c r="H10">
        <v>14.5</v>
      </c>
      <c r="I10" t="s">
        <v>29</v>
      </c>
      <c r="J10">
        <v>0</v>
      </c>
      <c r="K10">
        <v>1</v>
      </c>
      <c r="L10">
        <v>0</v>
      </c>
      <c r="M10">
        <v>1</v>
      </c>
      <c r="N10">
        <v>0</v>
      </c>
      <c r="O10">
        <v>2</v>
      </c>
      <c r="P10" t="s">
        <v>30</v>
      </c>
      <c r="Q10" t="s">
        <v>29</v>
      </c>
      <c r="R10" t="s">
        <v>169</v>
      </c>
      <c r="S10" t="s">
        <v>33</v>
      </c>
      <c r="T10" t="s">
        <v>170</v>
      </c>
      <c r="U10" t="s">
        <v>33</v>
      </c>
    </row>
    <row r="11" spans="1:21" x14ac:dyDescent="0.3">
      <c r="A11">
        <v>2026</v>
      </c>
      <c r="B11">
        <v>7</v>
      </c>
      <c r="C11" t="s">
        <v>35</v>
      </c>
      <c r="D11" t="s">
        <v>171</v>
      </c>
      <c r="E11" t="s">
        <v>26</v>
      </c>
      <c r="F11" t="s">
        <v>27</v>
      </c>
      <c r="G11" t="s">
        <v>26</v>
      </c>
      <c r="H11">
        <v>14.5</v>
      </c>
      <c r="I11" t="s">
        <v>29</v>
      </c>
      <c r="J11">
        <v>0</v>
      </c>
      <c r="K11">
        <v>3</v>
      </c>
      <c r="L11">
        <v>0</v>
      </c>
      <c r="M11">
        <v>1</v>
      </c>
      <c r="N11">
        <v>0</v>
      </c>
      <c r="O11">
        <v>4</v>
      </c>
      <c r="P11" t="s">
        <v>30</v>
      </c>
      <c r="Q11" t="s">
        <v>29</v>
      </c>
      <c r="R11" t="s">
        <v>172</v>
      </c>
      <c r="S11" t="s">
        <v>33</v>
      </c>
      <c r="T11" t="s">
        <v>173</v>
      </c>
      <c r="U11" t="s">
        <v>33</v>
      </c>
    </row>
    <row r="12" spans="1:21" x14ac:dyDescent="0.3">
      <c r="A12">
        <v>2026</v>
      </c>
      <c r="B12">
        <v>8</v>
      </c>
      <c r="C12" t="s">
        <v>58</v>
      </c>
      <c r="D12" t="s">
        <v>174</v>
      </c>
      <c r="E12" t="s">
        <v>26</v>
      </c>
      <c r="F12" t="s">
        <v>27</v>
      </c>
      <c r="G12" t="s">
        <v>26</v>
      </c>
      <c r="H12">
        <v>14.5</v>
      </c>
      <c r="I12" t="s">
        <v>29</v>
      </c>
      <c r="J12">
        <v>0</v>
      </c>
      <c r="K12">
        <v>3</v>
      </c>
      <c r="L12">
        <v>0</v>
      </c>
      <c r="M12">
        <v>1</v>
      </c>
      <c r="N12">
        <v>0</v>
      </c>
      <c r="O12">
        <v>4</v>
      </c>
      <c r="P12" t="s">
        <v>30</v>
      </c>
      <c r="Q12" t="s">
        <v>29</v>
      </c>
      <c r="R12" t="s">
        <v>175</v>
      </c>
      <c r="S12" t="s">
        <v>33</v>
      </c>
      <c r="T12" t="s">
        <v>176</v>
      </c>
      <c r="U12" t="s">
        <v>33</v>
      </c>
    </row>
    <row r="13" spans="1:21" x14ac:dyDescent="0.3">
      <c r="A13">
        <v>2026</v>
      </c>
      <c r="B13">
        <v>9</v>
      </c>
      <c r="C13" t="s">
        <v>177</v>
      </c>
      <c r="D13" t="s">
        <v>178</v>
      </c>
      <c r="E13" t="s">
        <v>26</v>
      </c>
      <c r="F13" t="s">
        <v>27</v>
      </c>
      <c r="G13" t="s">
        <v>26</v>
      </c>
      <c r="H13">
        <v>14.5</v>
      </c>
      <c r="I13" t="s">
        <v>29</v>
      </c>
      <c r="J13">
        <v>0</v>
      </c>
      <c r="K13">
        <v>3</v>
      </c>
      <c r="L13">
        <v>0</v>
      </c>
      <c r="M13">
        <v>1</v>
      </c>
      <c r="N13">
        <v>0</v>
      </c>
      <c r="O13">
        <v>4</v>
      </c>
      <c r="P13" t="s">
        <v>30</v>
      </c>
      <c r="Q13" t="s">
        <v>29</v>
      </c>
      <c r="R13" t="s">
        <v>179</v>
      </c>
      <c r="S13" t="s">
        <v>33</v>
      </c>
      <c r="T13" t="s">
        <v>180</v>
      </c>
      <c r="U13" t="s">
        <v>33</v>
      </c>
    </row>
    <row r="14" spans="1:21" x14ac:dyDescent="0.3">
      <c r="A14">
        <v>2026</v>
      </c>
      <c r="B14">
        <v>10</v>
      </c>
      <c r="C14" t="s">
        <v>35</v>
      </c>
      <c r="D14" t="s">
        <v>181</v>
      </c>
      <c r="E14" t="s">
        <v>26</v>
      </c>
      <c r="F14" t="s">
        <v>27</v>
      </c>
      <c r="G14" t="s">
        <v>26</v>
      </c>
      <c r="H14">
        <v>14.5</v>
      </c>
      <c r="I14" t="s">
        <v>29</v>
      </c>
      <c r="J14">
        <v>0</v>
      </c>
      <c r="K14">
        <v>3</v>
      </c>
      <c r="L14">
        <v>0</v>
      </c>
      <c r="M14">
        <v>1</v>
      </c>
      <c r="N14">
        <v>0</v>
      </c>
      <c r="O14">
        <v>4</v>
      </c>
      <c r="P14" t="s">
        <v>30</v>
      </c>
      <c r="Q14" t="s">
        <v>29</v>
      </c>
      <c r="R14" t="s">
        <v>182</v>
      </c>
      <c r="S14" t="s">
        <v>33</v>
      </c>
      <c r="T14" t="s">
        <v>183</v>
      </c>
      <c r="U14" t="s">
        <v>33</v>
      </c>
    </row>
    <row r="15" spans="1:21" x14ac:dyDescent="0.3">
      <c r="A15">
        <v>2026</v>
      </c>
      <c r="B15">
        <v>11</v>
      </c>
      <c r="C15" t="s">
        <v>35</v>
      </c>
      <c r="D15" t="s">
        <v>184</v>
      </c>
      <c r="E15" t="s">
        <v>26</v>
      </c>
      <c r="F15" t="s">
        <v>123</v>
      </c>
      <c r="G15" t="s">
        <v>26</v>
      </c>
      <c r="H15">
        <v>14.5</v>
      </c>
      <c r="I15" t="s">
        <v>29</v>
      </c>
      <c r="J15">
        <v>0</v>
      </c>
      <c r="K15">
        <v>1</v>
      </c>
      <c r="L15">
        <v>0</v>
      </c>
      <c r="M15">
        <v>1</v>
      </c>
      <c r="N15">
        <v>0</v>
      </c>
      <c r="O15">
        <v>2</v>
      </c>
      <c r="P15" t="s">
        <v>30</v>
      </c>
      <c r="Q15" t="s">
        <v>29</v>
      </c>
      <c r="R15" t="s">
        <v>185</v>
      </c>
      <c r="S15" t="s">
        <v>33</v>
      </c>
      <c r="T15" t="s">
        <v>186</v>
      </c>
      <c r="U15" t="s">
        <v>33</v>
      </c>
    </row>
    <row r="16" spans="1:21" x14ac:dyDescent="0.3">
      <c r="A16">
        <v>2026</v>
      </c>
      <c r="B16">
        <v>12</v>
      </c>
      <c r="C16" t="s">
        <v>35</v>
      </c>
      <c r="D16" t="s">
        <v>187</v>
      </c>
      <c r="E16" t="s">
        <v>26</v>
      </c>
      <c r="F16" t="s">
        <v>27</v>
      </c>
      <c r="G16" t="s">
        <v>26</v>
      </c>
      <c r="H16">
        <v>14.5</v>
      </c>
      <c r="I16" t="s">
        <v>29</v>
      </c>
      <c r="J16">
        <v>0</v>
      </c>
      <c r="K16">
        <v>3</v>
      </c>
      <c r="L16">
        <v>0</v>
      </c>
      <c r="M16">
        <v>1</v>
      </c>
      <c r="N16">
        <v>0</v>
      </c>
      <c r="O16">
        <v>4</v>
      </c>
      <c r="P16" t="s">
        <v>30</v>
      </c>
      <c r="Q16" t="s">
        <v>29</v>
      </c>
      <c r="R16" t="s">
        <v>188</v>
      </c>
      <c r="S16" t="s">
        <v>33</v>
      </c>
      <c r="T16" t="s">
        <v>189</v>
      </c>
      <c r="U16" t="s">
        <v>33</v>
      </c>
    </row>
    <row r="17" spans="1:21" x14ac:dyDescent="0.3">
      <c r="A17">
        <v>2026</v>
      </c>
      <c r="B17">
        <v>13</v>
      </c>
      <c r="C17" t="s">
        <v>35</v>
      </c>
      <c r="D17" t="s">
        <v>190</v>
      </c>
      <c r="E17" t="s">
        <v>26</v>
      </c>
      <c r="F17" t="s">
        <v>27</v>
      </c>
      <c r="G17" t="s">
        <v>26</v>
      </c>
      <c r="H17">
        <v>14.5</v>
      </c>
      <c r="I17" t="s">
        <v>29</v>
      </c>
      <c r="J17">
        <v>0</v>
      </c>
      <c r="K17">
        <v>3</v>
      </c>
      <c r="L17">
        <v>0</v>
      </c>
      <c r="M17">
        <v>1</v>
      </c>
      <c r="N17">
        <v>0</v>
      </c>
      <c r="O17">
        <v>4</v>
      </c>
      <c r="P17" t="s">
        <v>30</v>
      </c>
      <c r="Q17" t="s">
        <v>29</v>
      </c>
      <c r="R17" t="s">
        <v>191</v>
      </c>
      <c r="S17" t="s">
        <v>33</v>
      </c>
      <c r="T17" t="s">
        <v>192</v>
      </c>
      <c r="U17" t="s">
        <v>33</v>
      </c>
    </row>
    <row r="18" spans="1:21" x14ac:dyDescent="0.3">
      <c r="A18">
        <v>2026</v>
      </c>
      <c r="B18">
        <v>14</v>
      </c>
      <c r="C18" t="s">
        <v>35</v>
      </c>
      <c r="D18" t="s">
        <v>193</v>
      </c>
      <c r="E18" t="s">
        <v>26</v>
      </c>
      <c r="F18" t="s">
        <v>27</v>
      </c>
      <c r="G18" t="s">
        <v>26</v>
      </c>
      <c r="H18">
        <v>14.5</v>
      </c>
      <c r="I18" t="s">
        <v>29</v>
      </c>
      <c r="J18">
        <v>0</v>
      </c>
      <c r="K18">
        <v>3</v>
      </c>
      <c r="L18">
        <v>0</v>
      </c>
      <c r="M18">
        <v>1</v>
      </c>
      <c r="N18">
        <v>0</v>
      </c>
      <c r="O18">
        <v>4</v>
      </c>
      <c r="P18" t="s">
        <v>30</v>
      </c>
      <c r="Q18" t="s">
        <v>29</v>
      </c>
      <c r="R18" t="s">
        <v>194</v>
      </c>
      <c r="S18" t="s">
        <v>33</v>
      </c>
      <c r="T18" t="s">
        <v>195</v>
      </c>
      <c r="U18" t="s">
        <v>33</v>
      </c>
    </row>
    <row r="19" spans="1:21" x14ac:dyDescent="0.3">
      <c r="A19">
        <v>2026</v>
      </c>
      <c r="B19">
        <v>15</v>
      </c>
      <c r="C19" t="s">
        <v>85</v>
      </c>
      <c r="D19" t="s">
        <v>196</v>
      </c>
      <c r="E19" t="s">
        <v>26</v>
      </c>
      <c r="F19" t="s">
        <v>27</v>
      </c>
      <c r="G19" t="s">
        <v>26</v>
      </c>
      <c r="H19">
        <v>14.5</v>
      </c>
      <c r="I19" t="s">
        <v>29</v>
      </c>
      <c r="J19">
        <v>0</v>
      </c>
      <c r="K19">
        <v>3</v>
      </c>
      <c r="L19">
        <v>0</v>
      </c>
      <c r="M19">
        <v>1</v>
      </c>
      <c r="N19">
        <v>0</v>
      </c>
      <c r="O19">
        <v>4</v>
      </c>
      <c r="P19" t="s">
        <v>30</v>
      </c>
      <c r="Q19" t="s">
        <v>29</v>
      </c>
      <c r="R19" t="s">
        <v>197</v>
      </c>
      <c r="S19" t="s">
        <v>33</v>
      </c>
      <c r="T19" t="s">
        <v>198</v>
      </c>
      <c r="U19" t="s">
        <v>33</v>
      </c>
    </row>
    <row r="20" spans="1:21" x14ac:dyDescent="0.3">
      <c r="A20">
        <v>2026</v>
      </c>
      <c r="B20">
        <v>16</v>
      </c>
      <c r="C20" t="s">
        <v>85</v>
      </c>
      <c r="D20" t="s">
        <v>199</v>
      </c>
      <c r="E20" t="s">
        <v>26</v>
      </c>
      <c r="F20" t="s">
        <v>27</v>
      </c>
      <c r="G20" t="s">
        <v>26</v>
      </c>
      <c r="H20">
        <v>14.5</v>
      </c>
      <c r="I20" t="s">
        <v>29</v>
      </c>
      <c r="J20">
        <v>0</v>
      </c>
      <c r="K20">
        <v>3</v>
      </c>
      <c r="L20">
        <v>0</v>
      </c>
      <c r="M20">
        <v>1</v>
      </c>
      <c r="N20">
        <v>0</v>
      </c>
      <c r="O20">
        <v>4</v>
      </c>
      <c r="P20" t="s">
        <v>30</v>
      </c>
      <c r="Q20" t="s">
        <v>29</v>
      </c>
      <c r="R20" t="s">
        <v>200</v>
      </c>
      <c r="S20" t="s">
        <v>33</v>
      </c>
      <c r="T20" t="s">
        <v>201</v>
      </c>
      <c r="U20" t="s">
        <v>33</v>
      </c>
    </row>
    <row r="21" spans="1:21" x14ac:dyDescent="0.3">
      <c r="A21">
        <v>2026</v>
      </c>
      <c r="B21">
        <v>17</v>
      </c>
      <c r="C21" t="s">
        <v>85</v>
      </c>
      <c r="D21" t="s">
        <v>202</v>
      </c>
      <c r="E21" t="s">
        <v>26</v>
      </c>
      <c r="F21" t="s">
        <v>27</v>
      </c>
      <c r="G21" t="s">
        <v>26</v>
      </c>
      <c r="H21">
        <v>14.5</v>
      </c>
      <c r="I21" t="s">
        <v>29</v>
      </c>
      <c r="J21">
        <v>0</v>
      </c>
      <c r="K21">
        <v>3</v>
      </c>
      <c r="L21">
        <v>0</v>
      </c>
      <c r="M21">
        <v>1</v>
      </c>
      <c r="N21">
        <v>0</v>
      </c>
      <c r="O21">
        <v>4</v>
      </c>
      <c r="P21" t="s">
        <v>30</v>
      </c>
      <c r="Q21" t="s">
        <v>29</v>
      </c>
      <c r="R21" t="s">
        <v>203</v>
      </c>
      <c r="S21" t="s">
        <v>33</v>
      </c>
      <c r="T21" t="s">
        <v>204</v>
      </c>
      <c r="U21" t="s">
        <v>33</v>
      </c>
    </row>
    <row r="22" spans="1:21" x14ac:dyDescent="0.3">
      <c r="A22">
        <v>2026</v>
      </c>
      <c r="B22">
        <v>18</v>
      </c>
      <c r="C22" t="s">
        <v>85</v>
      </c>
      <c r="D22" t="s">
        <v>205</v>
      </c>
      <c r="E22" t="s">
        <v>26</v>
      </c>
      <c r="F22" t="s">
        <v>27</v>
      </c>
      <c r="G22" t="s">
        <v>26</v>
      </c>
      <c r="H22">
        <v>14.5</v>
      </c>
      <c r="I22" t="s">
        <v>29</v>
      </c>
      <c r="J22">
        <v>0</v>
      </c>
      <c r="K22">
        <v>3</v>
      </c>
      <c r="L22">
        <v>0</v>
      </c>
      <c r="M22">
        <v>1</v>
      </c>
      <c r="N22">
        <v>0</v>
      </c>
      <c r="O22">
        <v>4</v>
      </c>
      <c r="P22" t="s">
        <v>30</v>
      </c>
      <c r="Q22" t="s">
        <v>29</v>
      </c>
      <c r="R22" t="s">
        <v>206</v>
      </c>
      <c r="S22" t="s">
        <v>33</v>
      </c>
      <c r="T22" t="s">
        <v>207</v>
      </c>
      <c r="U22" t="s">
        <v>33</v>
      </c>
    </row>
    <row r="23" spans="1:21" x14ac:dyDescent="0.3">
      <c r="A23">
        <v>2026</v>
      </c>
      <c r="B23">
        <v>19</v>
      </c>
      <c r="C23" t="s">
        <v>85</v>
      </c>
      <c r="D23" t="s">
        <v>208</v>
      </c>
      <c r="E23" t="s">
        <v>26</v>
      </c>
      <c r="F23" t="s">
        <v>111</v>
      </c>
      <c r="G23" t="s">
        <v>26</v>
      </c>
      <c r="H23">
        <v>14.5</v>
      </c>
      <c r="I23" t="s">
        <v>29</v>
      </c>
      <c r="J23">
        <v>0</v>
      </c>
      <c r="K23">
        <v>1</v>
      </c>
      <c r="L23">
        <v>0</v>
      </c>
      <c r="M23">
        <v>1</v>
      </c>
      <c r="N23">
        <v>0</v>
      </c>
      <c r="O23">
        <v>2</v>
      </c>
      <c r="P23" t="s">
        <v>30</v>
      </c>
      <c r="Q23" t="s">
        <v>29</v>
      </c>
      <c r="R23" t="s">
        <v>209</v>
      </c>
      <c r="S23" t="s">
        <v>33</v>
      </c>
      <c r="T23" t="s">
        <v>210</v>
      </c>
      <c r="U23" t="s">
        <v>33</v>
      </c>
    </row>
    <row r="24" spans="1:21" x14ac:dyDescent="0.3">
      <c r="A24">
        <v>2026</v>
      </c>
      <c r="B24">
        <v>20</v>
      </c>
      <c r="C24" t="s">
        <v>85</v>
      </c>
      <c r="D24" t="s">
        <v>211</v>
      </c>
      <c r="E24" t="s">
        <v>26</v>
      </c>
      <c r="F24" t="s">
        <v>27</v>
      </c>
      <c r="G24" t="s">
        <v>26</v>
      </c>
      <c r="H24">
        <v>14.5</v>
      </c>
      <c r="I24" t="s">
        <v>29</v>
      </c>
      <c r="J24">
        <v>0</v>
      </c>
      <c r="K24">
        <v>3</v>
      </c>
      <c r="L24">
        <v>0</v>
      </c>
      <c r="M24">
        <v>1</v>
      </c>
      <c r="N24">
        <v>0</v>
      </c>
      <c r="O24">
        <v>4</v>
      </c>
      <c r="P24" t="s">
        <v>30</v>
      </c>
      <c r="Q24" t="s">
        <v>29</v>
      </c>
      <c r="R24" t="s">
        <v>212</v>
      </c>
      <c r="S24" t="s">
        <v>33</v>
      </c>
      <c r="T24" t="s">
        <v>213</v>
      </c>
      <c r="U24" t="s">
        <v>33</v>
      </c>
    </row>
    <row r="25" spans="1:21" x14ac:dyDescent="0.3">
      <c r="A25">
        <v>2026</v>
      </c>
      <c r="B25">
        <v>21</v>
      </c>
      <c r="C25" t="s">
        <v>85</v>
      </c>
      <c r="D25" t="s">
        <v>214</v>
      </c>
      <c r="E25" t="s">
        <v>26</v>
      </c>
      <c r="F25" t="s">
        <v>259</v>
      </c>
      <c r="G25" t="s">
        <v>26</v>
      </c>
      <c r="H25">
        <v>14.5</v>
      </c>
      <c r="I25" t="s">
        <v>29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 t="s">
        <v>30</v>
      </c>
      <c r="Q25" t="s">
        <v>31</v>
      </c>
      <c r="R25" t="s">
        <v>215</v>
      </c>
      <c r="S25" t="s">
        <v>33</v>
      </c>
      <c r="T25" t="s">
        <v>216</v>
      </c>
      <c r="U25" t="s">
        <v>33</v>
      </c>
    </row>
    <row r="26" spans="1:21" x14ac:dyDescent="0.3">
      <c r="A26">
        <v>2026</v>
      </c>
      <c r="B26">
        <v>22</v>
      </c>
      <c r="C26" t="s">
        <v>85</v>
      </c>
      <c r="D26" t="s">
        <v>217</v>
      </c>
      <c r="E26" t="s">
        <v>26</v>
      </c>
      <c r="F26" t="s">
        <v>27</v>
      </c>
      <c r="G26" t="s">
        <v>26</v>
      </c>
      <c r="H26">
        <v>14.5</v>
      </c>
      <c r="I26" t="s">
        <v>29</v>
      </c>
      <c r="J26">
        <v>0</v>
      </c>
      <c r="K26">
        <v>3</v>
      </c>
      <c r="L26">
        <v>0</v>
      </c>
      <c r="M26">
        <v>1</v>
      </c>
      <c r="N26">
        <v>0</v>
      </c>
      <c r="O26">
        <v>4</v>
      </c>
      <c r="P26" t="s">
        <v>30</v>
      </c>
      <c r="Q26" t="s">
        <v>29</v>
      </c>
      <c r="R26" t="s">
        <v>218</v>
      </c>
      <c r="S26" t="s">
        <v>33</v>
      </c>
      <c r="T26" t="s">
        <v>219</v>
      </c>
      <c r="U26" t="s">
        <v>33</v>
      </c>
    </row>
    <row r="27" spans="1:21" x14ac:dyDescent="0.3">
      <c r="A27">
        <v>2026</v>
      </c>
      <c r="B27">
        <v>23</v>
      </c>
      <c r="C27" t="s">
        <v>85</v>
      </c>
      <c r="D27" t="s">
        <v>220</v>
      </c>
      <c r="E27" t="s">
        <v>26</v>
      </c>
      <c r="F27" t="s">
        <v>27</v>
      </c>
      <c r="G27" t="s">
        <v>26</v>
      </c>
      <c r="H27">
        <v>14.5</v>
      </c>
      <c r="I27" t="s">
        <v>29</v>
      </c>
      <c r="J27">
        <v>0</v>
      </c>
      <c r="K27">
        <v>3</v>
      </c>
      <c r="L27">
        <v>0</v>
      </c>
      <c r="M27">
        <v>1</v>
      </c>
      <c r="N27">
        <v>0</v>
      </c>
      <c r="O27">
        <v>4</v>
      </c>
      <c r="P27" t="s">
        <v>30</v>
      </c>
      <c r="Q27" t="s">
        <v>29</v>
      </c>
      <c r="R27" t="s">
        <v>221</v>
      </c>
      <c r="S27" t="s">
        <v>33</v>
      </c>
      <c r="T27" t="s">
        <v>222</v>
      </c>
      <c r="U27" t="s">
        <v>33</v>
      </c>
    </row>
    <row r="28" spans="1:21" x14ac:dyDescent="0.3">
      <c r="A28">
        <v>2026</v>
      </c>
      <c r="B28">
        <v>24</v>
      </c>
      <c r="C28" t="s">
        <v>85</v>
      </c>
      <c r="D28" t="s">
        <v>223</v>
      </c>
      <c r="E28" t="s">
        <v>26</v>
      </c>
      <c r="F28" t="s">
        <v>165</v>
      </c>
      <c r="G28" t="s">
        <v>26</v>
      </c>
      <c r="H28">
        <v>14.5</v>
      </c>
      <c r="I28" t="s">
        <v>29</v>
      </c>
      <c r="J28">
        <v>0</v>
      </c>
      <c r="K28">
        <v>1</v>
      </c>
      <c r="L28">
        <v>0</v>
      </c>
      <c r="M28">
        <v>1</v>
      </c>
      <c r="N28">
        <v>0</v>
      </c>
      <c r="O28">
        <v>2</v>
      </c>
      <c r="P28" t="s">
        <v>30</v>
      </c>
      <c r="Q28" t="s">
        <v>29</v>
      </c>
      <c r="R28" t="s">
        <v>224</v>
      </c>
      <c r="S28" t="s">
        <v>33</v>
      </c>
      <c r="T28" t="s">
        <v>225</v>
      </c>
      <c r="U28" t="s">
        <v>33</v>
      </c>
    </row>
    <row r="29" spans="1:21" x14ac:dyDescent="0.3">
      <c r="A29">
        <v>2026</v>
      </c>
      <c r="B29">
        <v>25</v>
      </c>
      <c r="C29" t="s">
        <v>85</v>
      </c>
      <c r="D29" t="s">
        <v>226</v>
      </c>
      <c r="E29" t="s">
        <v>26</v>
      </c>
      <c r="F29" t="s">
        <v>27</v>
      </c>
      <c r="G29" t="s">
        <v>26</v>
      </c>
      <c r="H29">
        <v>14.5</v>
      </c>
      <c r="I29" t="s">
        <v>29</v>
      </c>
      <c r="J29">
        <v>0</v>
      </c>
      <c r="K29">
        <v>3</v>
      </c>
      <c r="L29">
        <v>0</v>
      </c>
      <c r="M29">
        <v>1</v>
      </c>
      <c r="N29">
        <v>0</v>
      </c>
      <c r="O29">
        <v>4</v>
      </c>
      <c r="P29" t="s">
        <v>30</v>
      </c>
      <c r="Q29" t="s">
        <v>29</v>
      </c>
      <c r="R29" t="s">
        <v>134</v>
      </c>
      <c r="S29" t="s">
        <v>33</v>
      </c>
      <c r="T29" t="s">
        <v>227</v>
      </c>
      <c r="U29" t="s">
        <v>33</v>
      </c>
    </row>
    <row r="30" spans="1:21" x14ac:dyDescent="0.3">
      <c r="A30">
        <v>2026</v>
      </c>
      <c r="B30">
        <v>26</v>
      </c>
      <c r="C30" t="s">
        <v>85</v>
      </c>
      <c r="D30" t="s">
        <v>228</v>
      </c>
      <c r="E30" t="s">
        <v>26</v>
      </c>
      <c r="F30" t="s">
        <v>27</v>
      </c>
      <c r="G30" t="s">
        <v>26</v>
      </c>
      <c r="H30">
        <v>14.5</v>
      </c>
      <c r="I30" t="s">
        <v>29</v>
      </c>
      <c r="J30">
        <v>0</v>
      </c>
      <c r="K30">
        <v>3</v>
      </c>
      <c r="L30">
        <v>0</v>
      </c>
      <c r="M30">
        <v>1</v>
      </c>
      <c r="N30">
        <v>0</v>
      </c>
      <c r="O30">
        <v>4</v>
      </c>
      <c r="P30" t="s">
        <v>30</v>
      </c>
      <c r="Q30" t="s">
        <v>29</v>
      </c>
      <c r="R30" t="s">
        <v>229</v>
      </c>
      <c r="S30" t="s">
        <v>33</v>
      </c>
      <c r="T30" t="s">
        <v>230</v>
      </c>
      <c r="U30" t="s">
        <v>33</v>
      </c>
    </row>
    <row r="31" spans="1:21" x14ac:dyDescent="0.3">
      <c r="A31">
        <v>2026</v>
      </c>
      <c r="B31">
        <v>27</v>
      </c>
      <c r="C31" t="s">
        <v>85</v>
      </c>
      <c r="D31" t="s">
        <v>231</v>
      </c>
      <c r="E31" t="s">
        <v>26</v>
      </c>
      <c r="F31" t="s">
        <v>123</v>
      </c>
      <c r="G31" t="s">
        <v>26</v>
      </c>
      <c r="H31">
        <v>14.5</v>
      </c>
      <c r="I31" t="s">
        <v>29</v>
      </c>
      <c r="J31">
        <v>0</v>
      </c>
      <c r="K31">
        <v>1</v>
      </c>
      <c r="L31">
        <v>0</v>
      </c>
      <c r="M31">
        <v>1</v>
      </c>
      <c r="N31">
        <v>0</v>
      </c>
      <c r="O31">
        <v>2</v>
      </c>
      <c r="P31" t="s">
        <v>30</v>
      </c>
      <c r="Q31" t="s">
        <v>29</v>
      </c>
      <c r="R31" t="s">
        <v>232</v>
      </c>
      <c r="S31" t="s">
        <v>33</v>
      </c>
      <c r="T31" t="s">
        <v>233</v>
      </c>
      <c r="U31" t="s">
        <v>33</v>
      </c>
    </row>
    <row r="32" spans="1:21" x14ac:dyDescent="0.3">
      <c r="A32">
        <v>2026</v>
      </c>
      <c r="B32">
        <v>28</v>
      </c>
      <c r="C32" t="s">
        <v>85</v>
      </c>
      <c r="D32" t="s">
        <v>234</v>
      </c>
      <c r="E32" t="s">
        <v>26</v>
      </c>
      <c r="F32" t="s">
        <v>165</v>
      </c>
      <c r="G32" t="s">
        <v>26</v>
      </c>
      <c r="H32">
        <v>14.5</v>
      </c>
      <c r="I32" t="s">
        <v>29</v>
      </c>
      <c r="J32">
        <v>0</v>
      </c>
      <c r="K32">
        <v>1</v>
      </c>
      <c r="L32">
        <v>0</v>
      </c>
      <c r="M32">
        <v>1</v>
      </c>
      <c r="N32">
        <v>0</v>
      </c>
      <c r="O32">
        <v>2</v>
      </c>
      <c r="P32" t="s">
        <v>30</v>
      </c>
      <c r="Q32" t="s">
        <v>29</v>
      </c>
      <c r="R32" t="s">
        <v>235</v>
      </c>
      <c r="S32" t="s">
        <v>33</v>
      </c>
      <c r="T32" t="s">
        <v>236</v>
      </c>
      <c r="U32" t="s">
        <v>33</v>
      </c>
    </row>
    <row r="33" spans="1:21" x14ac:dyDescent="0.3">
      <c r="A33">
        <v>2026</v>
      </c>
      <c r="B33">
        <v>29</v>
      </c>
      <c r="C33" t="s">
        <v>85</v>
      </c>
      <c r="D33" t="s">
        <v>237</v>
      </c>
      <c r="E33" t="s">
        <v>26</v>
      </c>
      <c r="F33" t="s">
        <v>111</v>
      </c>
      <c r="G33" t="s">
        <v>26</v>
      </c>
      <c r="H33">
        <v>14.5</v>
      </c>
      <c r="I33" t="s">
        <v>29</v>
      </c>
      <c r="J33">
        <v>0</v>
      </c>
      <c r="K33">
        <v>1</v>
      </c>
      <c r="L33">
        <v>0</v>
      </c>
      <c r="M33">
        <v>1</v>
      </c>
      <c r="N33">
        <v>0</v>
      </c>
      <c r="O33">
        <v>2</v>
      </c>
      <c r="P33" t="s">
        <v>30</v>
      </c>
      <c r="Q33" t="s">
        <v>29</v>
      </c>
      <c r="R33" t="s">
        <v>238</v>
      </c>
      <c r="S33" t="s">
        <v>33</v>
      </c>
      <c r="T33" t="s">
        <v>239</v>
      </c>
      <c r="U33" t="s">
        <v>33</v>
      </c>
    </row>
    <row r="34" spans="1:21" x14ac:dyDescent="0.3">
      <c r="A34">
        <v>2026</v>
      </c>
      <c r="B34">
        <v>30</v>
      </c>
      <c r="C34" t="s">
        <v>85</v>
      </c>
      <c r="D34" t="s">
        <v>240</v>
      </c>
      <c r="E34" t="s">
        <v>26</v>
      </c>
      <c r="F34" t="s">
        <v>27</v>
      </c>
      <c r="G34" t="s">
        <v>26</v>
      </c>
      <c r="H34">
        <v>14.5</v>
      </c>
      <c r="I34" t="s">
        <v>29</v>
      </c>
      <c r="J34">
        <v>0</v>
      </c>
      <c r="K34">
        <v>3</v>
      </c>
      <c r="L34">
        <v>0</v>
      </c>
      <c r="M34">
        <v>1</v>
      </c>
      <c r="N34">
        <v>0</v>
      </c>
      <c r="O34">
        <v>4</v>
      </c>
      <c r="P34" t="s">
        <v>30</v>
      </c>
      <c r="Q34" t="s">
        <v>29</v>
      </c>
      <c r="R34" t="s">
        <v>150</v>
      </c>
      <c r="S34" t="s">
        <v>33</v>
      </c>
      <c r="T34" t="s">
        <v>150</v>
      </c>
      <c r="U34" t="s">
        <v>33</v>
      </c>
    </row>
    <row r="35" spans="1:21" x14ac:dyDescent="0.3">
      <c r="A35">
        <v>2025</v>
      </c>
      <c r="B35">
        <v>1</v>
      </c>
      <c r="C35" t="s">
        <v>24</v>
      </c>
      <c r="D35" t="s">
        <v>260</v>
      </c>
      <c r="E35" t="s">
        <v>26</v>
      </c>
      <c r="F35" t="s">
        <v>27</v>
      </c>
      <c r="G35" t="s">
        <v>28</v>
      </c>
      <c r="H35">
        <v>13.5</v>
      </c>
      <c r="I35" t="s">
        <v>29</v>
      </c>
      <c r="J35">
        <v>0</v>
      </c>
      <c r="K35">
        <v>3</v>
      </c>
      <c r="L35">
        <v>0</v>
      </c>
      <c r="M35">
        <v>1</v>
      </c>
      <c r="N35">
        <v>0</v>
      </c>
      <c r="O35">
        <v>4</v>
      </c>
      <c r="P35" t="s">
        <v>30</v>
      </c>
      <c r="R35" t="s">
        <v>261</v>
      </c>
      <c r="S35" t="s">
        <v>33</v>
      </c>
      <c r="T35" t="s">
        <v>265</v>
      </c>
      <c r="U35" t="s">
        <v>33</v>
      </c>
    </row>
    <row r="36" spans="1:21" x14ac:dyDescent="0.3">
      <c r="A36">
        <v>2025</v>
      </c>
      <c r="B36">
        <v>2</v>
      </c>
      <c r="C36" t="s">
        <v>24</v>
      </c>
      <c r="D36" t="s">
        <v>262</v>
      </c>
      <c r="E36" t="s">
        <v>26</v>
      </c>
      <c r="F36" t="s">
        <v>27</v>
      </c>
      <c r="G36" t="s">
        <v>28</v>
      </c>
      <c r="H36">
        <v>13.5</v>
      </c>
      <c r="I36" t="s">
        <v>29</v>
      </c>
      <c r="J36">
        <v>0</v>
      </c>
      <c r="K36">
        <v>3</v>
      </c>
      <c r="L36">
        <v>0</v>
      </c>
      <c r="M36">
        <v>1</v>
      </c>
      <c r="N36">
        <v>0</v>
      </c>
      <c r="O36">
        <v>4</v>
      </c>
      <c r="P36" t="s">
        <v>30</v>
      </c>
      <c r="R36" t="s">
        <v>263</v>
      </c>
      <c r="S36" t="s">
        <v>33</v>
      </c>
      <c r="T36" t="s">
        <v>266</v>
      </c>
      <c r="U36" t="s">
        <v>33</v>
      </c>
    </row>
    <row r="37" spans="1:21" x14ac:dyDescent="0.3">
      <c r="A37">
        <v>2025</v>
      </c>
      <c r="B37">
        <v>3</v>
      </c>
      <c r="C37" t="s">
        <v>24</v>
      </c>
      <c r="D37" t="s">
        <v>25</v>
      </c>
      <c r="E37" t="s">
        <v>26</v>
      </c>
      <c r="F37" t="s">
        <v>27</v>
      </c>
      <c r="G37" t="s">
        <v>28</v>
      </c>
      <c r="H37">
        <v>13.5</v>
      </c>
      <c r="I37" t="s">
        <v>29</v>
      </c>
      <c r="J37">
        <v>0</v>
      </c>
      <c r="K37">
        <v>3</v>
      </c>
      <c r="L37">
        <v>0</v>
      </c>
      <c r="M37">
        <v>1</v>
      </c>
      <c r="N37">
        <v>0</v>
      </c>
      <c r="O37">
        <v>4</v>
      </c>
      <c r="P37" t="s">
        <v>30</v>
      </c>
      <c r="Q37" t="s">
        <v>31</v>
      </c>
      <c r="R37" t="s">
        <v>32</v>
      </c>
      <c r="S37" t="s">
        <v>33</v>
      </c>
      <c r="T37" t="s">
        <v>34</v>
      </c>
      <c r="U37" t="s">
        <v>33</v>
      </c>
    </row>
    <row r="38" spans="1:21" x14ac:dyDescent="0.3">
      <c r="A38">
        <v>2025</v>
      </c>
      <c r="B38">
        <v>4</v>
      </c>
      <c r="C38" t="s">
        <v>35</v>
      </c>
      <c r="D38" t="s">
        <v>36</v>
      </c>
      <c r="E38" t="s">
        <v>26</v>
      </c>
      <c r="F38" t="s">
        <v>27</v>
      </c>
      <c r="G38" t="s">
        <v>28</v>
      </c>
      <c r="H38">
        <v>13.5</v>
      </c>
      <c r="I38" t="s">
        <v>29</v>
      </c>
      <c r="J38">
        <v>0</v>
      </c>
      <c r="K38">
        <v>3</v>
      </c>
      <c r="L38">
        <v>0</v>
      </c>
      <c r="M38">
        <v>1</v>
      </c>
      <c r="N38">
        <v>0</v>
      </c>
      <c r="O38">
        <v>4</v>
      </c>
      <c r="P38" t="s">
        <v>30</v>
      </c>
      <c r="R38" t="s">
        <v>37</v>
      </c>
      <c r="S38" t="s">
        <v>33</v>
      </c>
      <c r="T38" t="s">
        <v>38</v>
      </c>
      <c r="U38" t="s">
        <v>33</v>
      </c>
    </row>
    <row r="39" spans="1:21" x14ac:dyDescent="0.3">
      <c r="A39">
        <v>2025</v>
      </c>
      <c r="B39">
        <v>5</v>
      </c>
      <c r="C39" t="s">
        <v>35</v>
      </c>
      <c r="D39" t="s">
        <v>39</v>
      </c>
      <c r="E39" t="s">
        <v>26</v>
      </c>
      <c r="F39" t="s">
        <v>27</v>
      </c>
      <c r="G39" t="s">
        <v>28</v>
      </c>
      <c r="H39">
        <v>13.5</v>
      </c>
      <c r="I39" t="s">
        <v>29</v>
      </c>
      <c r="J39">
        <v>0</v>
      </c>
      <c r="K39">
        <v>3</v>
      </c>
      <c r="L39">
        <v>0</v>
      </c>
      <c r="M39">
        <v>1</v>
      </c>
      <c r="N39">
        <v>0</v>
      </c>
      <c r="O39">
        <v>4</v>
      </c>
      <c r="P39" t="s">
        <v>30</v>
      </c>
      <c r="R39" t="s">
        <v>40</v>
      </c>
      <c r="S39" t="s">
        <v>33</v>
      </c>
      <c r="T39" t="s">
        <v>41</v>
      </c>
      <c r="U39" t="s">
        <v>33</v>
      </c>
    </row>
    <row r="40" spans="1:21" x14ac:dyDescent="0.3">
      <c r="A40">
        <v>2025</v>
      </c>
      <c r="B40">
        <v>6</v>
      </c>
      <c r="C40" t="s">
        <v>42</v>
      </c>
      <c r="D40" t="s">
        <v>43</v>
      </c>
      <c r="E40" t="s">
        <v>26</v>
      </c>
      <c r="F40" t="s">
        <v>27</v>
      </c>
      <c r="G40" t="s">
        <v>28</v>
      </c>
      <c r="H40">
        <v>13.5</v>
      </c>
      <c r="I40" t="s">
        <v>29</v>
      </c>
      <c r="J40">
        <v>0</v>
      </c>
      <c r="K40">
        <v>3</v>
      </c>
      <c r="L40">
        <v>0</v>
      </c>
      <c r="M40">
        <v>1</v>
      </c>
      <c r="N40">
        <v>0</v>
      </c>
      <c r="O40">
        <v>4</v>
      </c>
      <c r="P40" t="s">
        <v>30</v>
      </c>
      <c r="R40" t="s">
        <v>44</v>
      </c>
      <c r="S40" t="s">
        <v>33</v>
      </c>
      <c r="T40" t="s">
        <v>45</v>
      </c>
      <c r="U40" t="s">
        <v>33</v>
      </c>
    </row>
    <row r="41" spans="1:21" x14ac:dyDescent="0.3">
      <c r="A41">
        <v>2025</v>
      </c>
      <c r="B41">
        <v>7</v>
      </c>
      <c r="C41" t="s">
        <v>35</v>
      </c>
      <c r="D41" t="s">
        <v>46</v>
      </c>
      <c r="E41" t="s">
        <v>26</v>
      </c>
      <c r="F41" t="s">
        <v>27</v>
      </c>
      <c r="G41" t="s">
        <v>28</v>
      </c>
      <c r="H41">
        <v>13.5</v>
      </c>
      <c r="I41" t="s">
        <v>29</v>
      </c>
      <c r="J41">
        <v>0</v>
      </c>
      <c r="K41">
        <v>3</v>
      </c>
      <c r="L41">
        <v>0</v>
      </c>
      <c r="M41">
        <v>1</v>
      </c>
      <c r="N41">
        <v>0</v>
      </c>
      <c r="O41">
        <v>4</v>
      </c>
      <c r="P41" t="s">
        <v>30</v>
      </c>
      <c r="R41" t="s">
        <v>47</v>
      </c>
      <c r="S41" t="s">
        <v>33</v>
      </c>
      <c r="T41" t="s">
        <v>48</v>
      </c>
      <c r="U41" t="s">
        <v>33</v>
      </c>
    </row>
    <row r="42" spans="1:21" x14ac:dyDescent="0.3">
      <c r="A42">
        <v>2025</v>
      </c>
      <c r="B42">
        <v>8</v>
      </c>
      <c r="C42" t="s">
        <v>42</v>
      </c>
      <c r="D42" t="s">
        <v>49</v>
      </c>
      <c r="E42" t="s">
        <v>26</v>
      </c>
      <c r="F42" t="s">
        <v>27</v>
      </c>
      <c r="G42" t="s">
        <v>28</v>
      </c>
      <c r="H42">
        <v>13.5</v>
      </c>
      <c r="I42" t="s">
        <v>29</v>
      </c>
      <c r="J42">
        <v>0</v>
      </c>
      <c r="K42">
        <v>3</v>
      </c>
      <c r="L42">
        <v>0</v>
      </c>
      <c r="M42">
        <v>1</v>
      </c>
      <c r="N42">
        <v>0</v>
      </c>
      <c r="O42">
        <v>4</v>
      </c>
      <c r="P42" t="s">
        <v>30</v>
      </c>
      <c r="R42" t="s">
        <v>50</v>
      </c>
      <c r="S42" t="s">
        <v>33</v>
      </c>
      <c r="T42" t="s">
        <v>51</v>
      </c>
      <c r="U42" t="s">
        <v>33</v>
      </c>
    </row>
    <row r="43" spans="1:21" x14ac:dyDescent="0.3">
      <c r="A43">
        <v>2025</v>
      </c>
      <c r="B43">
        <v>9</v>
      </c>
      <c r="C43" t="s">
        <v>35</v>
      </c>
      <c r="D43" t="s">
        <v>52</v>
      </c>
      <c r="E43" t="s">
        <v>26</v>
      </c>
      <c r="F43" t="s">
        <v>27</v>
      </c>
      <c r="G43" t="s">
        <v>28</v>
      </c>
      <c r="H43">
        <v>13.5</v>
      </c>
      <c r="I43" t="s">
        <v>29</v>
      </c>
      <c r="J43">
        <v>0</v>
      </c>
      <c r="K43">
        <v>3</v>
      </c>
      <c r="L43">
        <v>0</v>
      </c>
      <c r="M43">
        <v>1</v>
      </c>
      <c r="N43">
        <v>0</v>
      </c>
      <c r="O43">
        <v>4</v>
      </c>
      <c r="P43" t="s">
        <v>30</v>
      </c>
      <c r="R43" t="s">
        <v>53</v>
      </c>
      <c r="S43" t="s">
        <v>33</v>
      </c>
      <c r="T43" t="s">
        <v>54</v>
      </c>
      <c r="U43" t="s">
        <v>33</v>
      </c>
    </row>
    <row r="44" spans="1:21" x14ac:dyDescent="0.3">
      <c r="A44">
        <v>2025</v>
      </c>
      <c r="B44">
        <v>10</v>
      </c>
      <c r="C44" t="s">
        <v>35</v>
      </c>
      <c r="D44" t="s">
        <v>55</v>
      </c>
      <c r="E44" t="s">
        <v>26</v>
      </c>
      <c r="F44" t="s">
        <v>27</v>
      </c>
      <c r="G44" t="s">
        <v>28</v>
      </c>
      <c r="H44">
        <v>13.5</v>
      </c>
      <c r="I44" t="s">
        <v>29</v>
      </c>
      <c r="J44">
        <v>0</v>
      </c>
      <c r="K44">
        <v>3</v>
      </c>
      <c r="L44">
        <v>0</v>
      </c>
      <c r="M44">
        <v>1</v>
      </c>
      <c r="N44">
        <v>0</v>
      </c>
      <c r="O44">
        <v>4</v>
      </c>
      <c r="P44" t="s">
        <v>30</v>
      </c>
      <c r="R44" t="s">
        <v>56</v>
      </c>
      <c r="S44" t="s">
        <v>33</v>
      </c>
      <c r="T44" t="s">
        <v>57</v>
      </c>
      <c r="U44" t="s">
        <v>33</v>
      </c>
    </row>
    <row r="45" spans="1:21" x14ac:dyDescent="0.3">
      <c r="A45">
        <v>2025</v>
      </c>
      <c r="B45">
        <v>11</v>
      </c>
      <c r="C45" t="s">
        <v>58</v>
      </c>
      <c r="D45" t="s">
        <v>59</v>
      </c>
      <c r="E45" t="s">
        <v>26</v>
      </c>
      <c r="F45" t="s">
        <v>27</v>
      </c>
      <c r="G45" t="s">
        <v>28</v>
      </c>
      <c r="H45">
        <v>13.5</v>
      </c>
      <c r="I45" t="s">
        <v>29</v>
      </c>
      <c r="J45">
        <v>0</v>
      </c>
      <c r="K45">
        <v>3</v>
      </c>
      <c r="L45">
        <v>0</v>
      </c>
      <c r="M45">
        <v>1</v>
      </c>
      <c r="N45">
        <v>0</v>
      </c>
      <c r="O45">
        <v>4</v>
      </c>
      <c r="P45" t="s">
        <v>30</v>
      </c>
      <c r="Q45" t="s">
        <v>60</v>
      </c>
      <c r="R45" t="s">
        <v>61</v>
      </c>
      <c r="S45" t="s">
        <v>33</v>
      </c>
      <c r="T45" t="s">
        <v>62</v>
      </c>
      <c r="U45" t="s">
        <v>33</v>
      </c>
    </row>
    <row r="46" spans="1:21" x14ac:dyDescent="0.3">
      <c r="A46">
        <v>2025</v>
      </c>
      <c r="B46">
        <v>12</v>
      </c>
      <c r="C46" t="s">
        <v>58</v>
      </c>
      <c r="D46" t="s">
        <v>63</v>
      </c>
      <c r="E46" t="s">
        <v>26</v>
      </c>
      <c r="F46" t="s">
        <v>27</v>
      </c>
      <c r="G46" t="s">
        <v>28</v>
      </c>
      <c r="H46">
        <v>13.5</v>
      </c>
      <c r="I46" t="s">
        <v>29</v>
      </c>
      <c r="J46">
        <v>0</v>
      </c>
      <c r="K46">
        <v>3</v>
      </c>
      <c r="L46">
        <v>0</v>
      </c>
      <c r="M46">
        <v>1</v>
      </c>
      <c r="N46">
        <v>0</v>
      </c>
      <c r="O46">
        <v>4</v>
      </c>
      <c r="P46" t="s">
        <v>30</v>
      </c>
      <c r="R46" t="s">
        <v>61</v>
      </c>
      <c r="S46" t="s">
        <v>33</v>
      </c>
      <c r="T46" t="s">
        <v>62</v>
      </c>
      <c r="U46" t="s">
        <v>33</v>
      </c>
    </row>
    <row r="47" spans="1:21" x14ac:dyDescent="0.3">
      <c r="A47">
        <v>2025</v>
      </c>
      <c r="B47">
        <v>13</v>
      </c>
      <c r="C47" t="s">
        <v>64</v>
      </c>
      <c r="D47" t="s">
        <v>65</v>
      </c>
      <c r="E47" t="s">
        <v>26</v>
      </c>
      <c r="F47" t="s">
        <v>27</v>
      </c>
      <c r="G47" t="s">
        <v>28</v>
      </c>
      <c r="H47">
        <v>13.5</v>
      </c>
      <c r="I47" t="s">
        <v>29</v>
      </c>
      <c r="J47">
        <v>0</v>
      </c>
      <c r="K47">
        <v>3</v>
      </c>
      <c r="L47">
        <v>0</v>
      </c>
      <c r="M47">
        <v>1</v>
      </c>
      <c r="N47">
        <v>0</v>
      </c>
      <c r="O47">
        <v>4</v>
      </c>
      <c r="P47" t="s">
        <v>30</v>
      </c>
      <c r="R47" t="s">
        <v>66</v>
      </c>
      <c r="S47" t="s">
        <v>33</v>
      </c>
      <c r="T47" t="s">
        <v>67</v>
      </c>
      <c r="U47" t="s">
        <v>33</v>
      </c>
    </row>
    <row r="48" spans="1:21" x14ac:dyDescent="0.3">
      <c r="A48">
        <v>2025</v>
      </c>
      <c r="B48">
        <v>14</v>
      </c>
      <c r="C48" t="s">
        <v>35</v>
      </c>
      <c r="D48" t="s">
        <v>68</v>
      </c>
      <c r="E48" t="s">
        <v>26</v>
      </c>
      <c r="F48" t="s">
        <v>27</v>
      </c>
      <c r="G48" t="s">
        <v>28</v>
      </c>
      <c r="H48">
        <v>13.5</v>
      </c>
      <c r="I48" t="s">
        <v>29</v>
      </c>
      <c r="J48">
        <v>0</v>
      </c>
      <c r="K48">
        <v>3</v>
      </c>
      <c r="L48">
        <v>0</v>
      </c>
      <c r="M48">
        <v>1</v>
      </c>
      <c r="N48">
        <v>0</v>
      </c>
      <c r="O48">
        <v>4</v>
      </c>
      <c r="P48" t="s">
        <v>30</v>
      </c>
      <c r="R48" t="s">
        <v>69</v>
      </c>
      <c r="S48" t="s">
        <v>33</v>
      </c>
      <c r="T48" t="s">
        <v>70</v>
      </c>
      <c r="U48" t="s">
        <v>33</v>
      </c>
    </row>
    <row r="49" spans="1:21" x14ac:dyDescent="0.3">
      <c r="A49">
        <v>2025</v>
      </c>
      <c r="B49">
        <v>15</v>
      </c>
      <c r="C49" t="s">
        <v>35</v>
      </c>
      <c r="D49" t="s">
        <v>71</v>
      </c>
      <c r="E49" t="s">
        <v>26</v>
      </c>
      <c r="F49" t="s">
        <v>27</v>
      </c>
      <c r="G49" t="s">
        <v>28</v>
      </c>
      <c r="H49">
        <v>13.5</v>
      </c>
      <c r="I49" t="s">
        <v>29</v>
      </c>
      <c r="J49">
        <v>0</v>
      </c>
      <c r="K49">
        <v>3</v>
      </c>
      <c r="L49">
        <v>0</v>
      </c>
      <c r="M49">
        <v>1</v>
      </c>
      <c r="N49">
        <v>0</v>
      </c>
      <c r="O49">
        <v>4</v>
      </c>
      <c r="P49" t="s">
        <v>30</v>
      </c>
      <c r="R49" t="s">
        <v>72</v>
      </c>
      <c r="S49" t="s">
        <v>33</v>
      </c>
      <c r="T49" t="s">
        <v>73</v>
      </c>
      <c r="U49" t="s">
        <v>33</v>
      </c>
    </row>
    <row r="50" spans="1:21" x14ac:dyDescent="0.3">
      <c r="A50">
        <v>2025</v>
      </c>
      <c r="B50">
        <v>16</v>
      </c>
      <c r="C50" t="s">
        <v>35</v>
      </c>
      <c r="D50" t="s">
        <v>74</v>
      </c>
      <c r="E50" t="s">
        <v>26</v>
      </c>
      <c r="F50" t="s">
        <v>27</v>
      </c>
      <c r="G50" t="s">
        <v>28</v>
      </c>
      <c r="H50">
        <v>13.5</v>
      </c>
      <c r="I50" t="s">
        <v>29</v>
      </c>
      <c r="J50">
        <v>0</v>
      </c>
      <c r="K50">
        <v>3</v>
      </c>
      <c r="L50">
        <v>0</v>
      </c>
      <c r="M50">
        <v>1</v>
      </c>
      <c r="N50">
        <v>0</v>
      </c>
      <c r="O50">
        <v>4</v>
      </c>
      <c r="P50" t="s">
        <v>30</v>
      </c>
      <c r="R50" t="s">
        <v>75</v>
      </c>
      <c r="S50" t="s">
        <v>33</v>
      </c>
      <c r="T50" t="s">
        <v>76</v>
      </c>
      <c r="U50" t="s">
        <v>33</v>
      </c>
    </row>
    <row r="51" spans="1:21" x14ac:dyDescent="0.3">
      <c r="A51">
        <v>2025</v>
      </c>
      <c r="B51">
        <v>17</v>
      </c>
      <c r="C51" t="s">
        <v>35</v>
      </c>
      <c r="D51" t="s">
        <v>77</v>
      </c>
      <c r="E51" t="s">
        <v>26</v>
      </c>
      <c r="F51" t="s">
        <v>27</v>
      </c>
      <c r="G51" t="s">
        <v>28</v>
      </c>
      <c r="H51">
        <v>13.5</v>
      </c>
      <c r="I51" t="s">
        <v>29</v>
      </c>
      <c r="J51">
        <v>0</v>
      </c>
      <c r="K51">
        <v>3</v>
      </c>
      <c r="L51">
        <v>0</v>
      </c>
      <c r="M51">
        <v>1</v>
      </c>
      <c r="N51">
        <v>0</v>
      </c>
      <c r="O51">
        <v>4</v>
      </c>
      <c r="P51" t="s">
        <v>30</v>
      </c>
      <c r="R51" t="s">
        <v>78</v>
      </c>
      <c r="S51" t="s">
        <v>33</v>
      </c>
      <c r="T51" t="s">
        <v>79</v>
      </c>
      <c r="U51" t="s">
        <v>33</v>
      </c>
    </row>
    <row r="52" spans="1:21" x14ac:dyDescent="0.3">
      <c r="A52">
        <v>2025</v>
      </c>
      <c r="B52">
        <v>18</v>
      </c>
      <c r="C52" t="s">
        <v>80</v>
      </c>
      <c r="D52" t="s">
        <v>81</v>
      </c>
      <c r="E52" t="s">
        <v>26</v>
      </c>
      <c r="F52" t="s">
        <v>27</v>
      </c>
      <c r="G52" t="s">
        <v>28</v>
      </c>
      <c r="H52">
        <v>13.5</v>
      </c>
      <c r="I52" t="s">
        <v>29</v>
      </c>
      <c r="J52">
        <v>0</v>
      </c>
      <c r="K52">
        <v>3</v>
      </c>
      <c r="L52">
        <v>0</v>
      </c>
      <c r="M52">
        <v>1</v>
      </c>
      <c r="N52">
        <v>0</v>
      </c>
      <c r="O52">
        <v>4</v>
      </c>
      <c r="P52" t="s">
        <v>30</v>
      </c>
      <c r="R52" t="s">
        <v>82</v>
      </c>
      <c r="S52" t="s">
        <v>33</v>
      </c>
      <c r="T52" t="s">
        <v>83</v>
      </c>
      <c r="U52" t="s">
        <v>33</v>
      </c>
    </row>
    <row r="53" spans="1:21" x14ac:dyDescent="0.3">
      <c r="A53">
        <v>2025</v>
      </c>
      <c r="B53">
        <v>19</v>
      </c>
      <c r="C53" t="s">
        <v>80</v>
      </c>
      <c r="D53" t="s">
        <v>84</v>
      </c>
      <c r="E53" t="s">
        <v>26</v>
      </c>
      <c r="F53" t="s">
        <v>264</v>
      </c>
      <c r="G53" t="s">
        <v>28</v>
      </c>
      <c r="H53">
        <v>13.5</v>
      </c>
      <c r="I53" t="s">
        <v>29</v>
      </c>
      <c r="J53">
        <v>0</v>
      </c>
      <c r="K53">
        <v>1</v>
      </c>
      <c r="L53">
        <v>0</v>
      </c>
      <c r="M53">
        <v>1</v>
      </c>
      <c r="N53">
        <v>0</v>
      </c>
      <c r="O53">
        <v>2</v>
      </c>
      <c r="P53" t="s">
        <v>30</v>
      </c>
      <c r="Q53" t="s">
        <v>31</v>
      </c>
      <c r="R53" t="s">
        <v>82</v>
      </c>
      <c r="S53" t="s">
        <v>33</v>
      </c>
      <c r="T53" t="s">
        <v>83</v>
      </c>
      <c r="U53" t="s">
        <v>33</v>
      </c>
    </row>
    <row r="54" spans="1:21" x14ac:dyDescent="0.3">
      <c r="A54">
        <v>2025</v>
      </c>
      <c r="B54">
        <v>20</v>
      </c>
      <c r="C54" t="s">
        <v>85</v>
      </c>
      <c r="D54" t="s">
        <v>86</v>
      </c>
      <c r="E54" t="s">
        <v>26</v>
      </c>
      <c r="F54" t="s">
        <v>27</v>
      </c>
      <c r="G54" t="s">
        <v>28</v>
      </c>
      <c r="H54">
        <v>13.5</v>
      </c>
      <c r="I54" t="s">
        <v>29</v>
      </c>
      <c r="J54">
        <v>0</v>
      </c>
      <c r="K54">
        <v>3</v>
      </c>
      <c r="L54">
        <v>0</v>
      </c>
      <c r="M54">
        <v>1</v>
      </c>
      <c r="N54">
        <v>0</v>
      </c>
      <c r="O54">
        <v>4</v>
      </c>
      <c r="P54" t="s">
        <v>30</v>
      </c>
      <c r="R54" t="s">
        <v>87</v>
      </c>
      <c r="S54" t="s">
        <v>33</v>
      </c>
      <c r="T54" t="s">
        <v>88</v>
      </c>
      <c r="U54" t="s">
        <v>33</v>
      </c>
    </row>
    <row r="55" spans="1:21" x14ac:dyDescent="0.3">
      <c r="A55">
        <v>2025</v>
      </c>
      <c r="B55">
        <v>21</v>
      </c>
      <c r="C55" t="s">
        <v>85</v>
      </c>
      <c r="D55" t="s">
        <v>89</v>
      </c>
      <c r="E55" t="s">
        <v>26</v>
      </c>
      <c r="F55" t="s">
        <v>27</v>
      </c>
      <c r="G55" t="s">
        <v>28</v>
      </c>
      <c r="H55">
        <v>13.5</v>
      </c>
      <c r="I55" t="s">
        <v>29</v>
      </c>
      <c r="J55">
        <v>0</v>
      </c>
      <c r="K55">
        <v>3</v>
      </c>
      <c r="L55">
        <v>0</v>
      </c>
      <c r="M55">
        <v>1</v>
      </c>
      <c r="N55">
        <v>0</v>
      </c>
      <c r="O55">
        <v>4</v>
      </c>
      <c r="P55" t="s">
        <v>30</v>
      </c>
      <c r="Q55" t="s">
        <v>31</v>
      </c>
      <c r="R55" t="s">
        <v>87</v>
      </c>
      <c r="S55" t="s">
        <v>33</v>
      </c>
      <c r="T55" t="s">
        <v>90</v>
      </c>
      <c r="U55" t="s">
        <v>33</v>
      </c>
    </row>
    <row r="56" spans="1:21" x14ac:dyDescent="0.3">
      <c r="A56">
        <v>2025</v>
      </c>
      <c r="B56">
        <v>22</v>
      </c>
      <c r="C56" t="s">
        <v>85</v>
      </c>
      <c r="D56" t="s">
        <v>91</v>
      </c>
      <c r="E56" t="s">
        <v>26</v>
      </c>
      <c r="F56" t="s">
        <v>27</v>
      </c>
      <c r="G56" t="s">
        <v>28</v>
      </c>
      <c r="H56">
        <v>13.5</v>
      </c>
      <c r="I56" t="s">
        <v>29</v>
      </c>
      <c r="J56">
        <v>0</v>
      </c>
      <c r="K56">
        <v>3</v>
      </c>
      <c r="L56">
        <v>0</v>
      </c>
      <c r="M56">
        <v>1</v>
      </c>
      <c r="N56">
        <v>0</v>
      </c>
      <c r="O56">
        <v>4</v>
      </c>
      <c r="P56" t="s">
        <v>30</v>
      </c>
      <c r="R56" t="s">
        <v>92</v>
      </c>
      <c r="S56" t="s">
        <v>33</v>
      </c>
      <c r="T56" t="s">
        <v>93</v>
      </c>
      <c r="U56" t="s">
        <v>33</v>
      </c>
    </row>
    <row r="57" spans="1:21" x14ac:dyDescent="0.3">
      <c r="A57">
        <v>2025</v>
      </c>
      <c r="B57">
        <v>23</v>
      </c>
      <c r="C57" t="s">
        <v>85</v>
      </c>
      <c r="D57" t="s">
        <v>94</v>
      </c>
      <c r="E57" t="s">
        <v>26</v>
      </c>
      <c r="F57" t="s">
        <v>29</v>
      </c>
      <c r="G57" t="s">
        <v>28</v>
      </c>
      <c r="H57">
        <v>13.5</v>
      </c>
      <c r="I57" t="s">
        <v>29</v>
      </c>
      <c r="J57">
        <v>0</v>
      </c>
      <c r="K57">
        <v>0</v>
      </c>
      <c r="L57">
        <v>0</v>
      </c>
      <c r="M57">
        <v>1</v>
      </c>
      <c r="N57">
        <v>0</v>
      </c>
      <c r="O57">
        <v>1</v>
      </c>
      <c r="P57" t="s">
        <v>30</v>
      </c>
      <c r="Q57" t="s">
        <v>95</v>
      </c>
      <c r="R57" t="s">
        <v>92</v>
      </c>
      <c r="S57" t="s">
        <v>33</v>
      </c>
      <c r="T57" t="s">
        <v>96</v>
      </c>
      <c r="U57" t="s">
        <v>33</v>
      </c>
    </row>
    <row r="58" spans="1:21" x14ac:dyDescent="0.3">
      <c r="A58">
        <v>2025</v>
      </c>
      <c r="B58">
        <v>24</v>
      </c>
      <c r="C58" t="s">
        <v>85</v>
      </c>
      <c r="D58" t="s">
        <v>97</v>
      </c>
      <c r="E58" t="s">
        <v>98</v>
      </c>
      <c r="F58" t="s">
        <v>29</v>
      </c>
      <c r="G58" t="s">
        <v>28</v>
      </c>
      <c r="H58">
        <v>13.5</v>
      </c>
      <c r="I58" t="s">
        <v>29</v>
      </c>
      <c r="J58">
        <v>3</v>
      </c>
      <c r="K58">
        <v>0</v>
      </c>
      <c r="L58">
        <v>0</v>
      </c>
      <c r="M58">
        <v>1</v>
      </c>
      <c r="N58">
        <v>0</v>
      </c>
      <c r="O58">
        <v>4</v>
      </c>
      <c r="P58" t="s">
        <v>30</v>
      </c>
      <c r="Q58" t="s">
        <v>99</v>
      </c>
      <c r="R58" t="s">
        <v>100</v>
      </c>
      <c r="S58" t="s">
        <v>33</v>
      </c>
      <c r="T58" t="s">
        <v>101</v>
      </c>
      <c r="U58" t="s">
        <v>33</v>
      </c>
    </row>
    <row r="59" spans="1:21" x14ac:dyDescent="0.3">
      <c r="A59">
        <v>2025</v>
      </c>
      <c r="B59">
        <v>25</v>
      </c>
      <c r="C59" t="s">
        <v>85</v>
      </c>
      <c r="D59" t="s">
        <v>102</v>
      </c>
      <c r="E59" t="s">
        <v>26</v>
      </c>
      <c r="F59" t="s">
        <v>27</v>
      </c>
      <c r="G59" t="s">
        <v>28</v>
      </c>
      <c r="H59">
        <v>13.5</v>
      </c>
      <c r="I59" t="s">
        <v>29</v>
      </c>
      <c r="J59">
        <v>0</v>
      </c>
      <c r="K59">
        <v>3</v>
      </c>
      <c r="L59">
        <v>0</v>
      </c>
      <c r="M59">
        <v>1</v>
      </c>
      <c r="N59">
        <v>0</v>
      </c>
      <c r="O59">
        <v>4</v>
      </c>
      <c r="P59" t="s">
        <v>30</v>
      </c>
      <c r="R59" t="s">
        <v>100</v>
      </c>
      <c r="S59" t="s">
        <v>33</v>
      </c>
      <c r="T59" t="s">
        <v>103</v>
      </c>
      <c r="U59" t="s">
        <v>33</v>
      </c>
    </row>
    <row r="60" spans="1:21" x14ac:dyDescent="0.3">
      <c r="A60">
        <v>2025</v>
      </c>
      <c r="B60">
        <v>26</v>
      </c>
      <c r="C60" t="s">
        <v>85</v>
      </c>
      <c r="D60" t="s">
        <v>104</v>
      </c>
      <c r="E60" t="s">
        <v>26</v>
      </c>
      <c r="F60" t="s">
        <v>264</v>
      </c>
      <c r="G60" t="s">
        <v>28</v>
      </c>
      <c r="H60">
        <v>13.5</v>
      </c>
      <c r="I60" t="s">
        <v>29</v>
      </c>
      <c r="J60">
        <v>0</v>
      </c>
      <c r="K60">
        <v>1</v>
      </c>
      <c r="L60">
        <v>0</v>
      </c>
      <c r="M60">
        <v>1</v>
      </c>
      <c r="N60">
        <v>0</v>
      </c>
      <c r="O60">
        <v>2</v>
      </c>
      <c r="P60" t="s">
        <v>30</v>
      </c>
      <c r="Q60" t="s">
        <v>31</v>
      </c>
      <c r="R60" t="s">
        <v>105</v>
      </c>
      <c r="S60" t="s">
        <v>33</v>
      </c>
      <c r="T60" t="s">
        <v>106</v>
      </c>
      <c r="U60" t="s">
        <v>33</v>
      </c>
    </row>
    <row r="61" spans="1:21" x14ac:dyDescent="0.3">
      <c r="A61">
        <v>2025</v>
      </c>
      <c r="B61">
        <v>27</v>
      </c>
      <c r="C61" t="s">
        <v>85</v>
      </c>
      <c r="D61" t="s">
        <v>107</v>
      </c>
      <c r="E61" t="s">
        <v>98</v>
      </c>
      <c r="F61" t="s">
        <v>29</v>
      </c>
      <c r="G61" t="s">
        <v>28</v>
      </c>
      <c r="H61">
        <v>13.5</v>
      </c>
      <c r="I61" t="s">
        <v>29</v>
      </c>
      <c r="J61">
        <v>3</v>
      </c>
      <c r="K61">
        <v>0</v>
      </c>
      <c r="L61">
        <v>0</v>
      </c>
      <c r="M61">
        <v>1</v>
      </c>
      <c r="N61">
        <v>0</v>
      </c>
      <c r="O61">
        <v>4</v>
      </c>
      <c r="P61" t="s">
        <v>30</v>
      </c>
      <c r="Q61" t="s">
        <v>99</v>
      </c>
      <c r="R61" t="s">
        <v>108</v>
      </c>
      <c r="S61" t="s">
        <v>33</v>
      </c>
      <c r="T61" t="s">
        <v>109</v>
      </c>
      <c r="U61" t="s">
        <v>33</v>
      </c>
    </row>
    <row r="62" spans="1:21" x14ac:dyDescent="0.3">
      <c r="A62">
        <v>2025</v>
      </c>
      <c r="B62">
        <v>28</v>
      </c>
      <c r="C62" t="s">
        <v>85</v>
      </c>
      <c r="D62" t="s">
        <v>110</v>
      </c>
      <c r="E62" t="s">
        <v>26</v>
      </c>
      <c r="F62" t="s">
        <v>111</v>
      </c>
      <c r="G62" t="s">
        <v>28</v>
      </c>
      <c r="H62">
        <v>13.5</v>
      </c>
      <c r="I62" t="s">
        <v>29</v>
      </c>
      <c r="J62">
        <v>0</v>
      </c>
      <c r="K62">
        <v>1</v>
      </c>
      <c r="L62">
        <v>0</v>
      </c>
      <c r="M62">
        <v>1</v>
      </c>
      <c r="N62">
        <v>0</v>
      </c>
      <c r="O62">
        <v>2</v>
      </c>
      <c r="P62" t="s">
        <v>30</v>
      </c>
      <c r="R62" t="s">
        <v>108</v>
      </c>
      <c r="S62" t="s">
        <v>33</v>
      </c>
      <c r="T62" t="s">
        <v>112</v>
      </c>
      <c r="U62" t="s">
        <v>33</v>
      </c>
    </row>
    <row r="63" spans="1:21" x14ac:dyDescent="0.3">
      <c r="A63">
        <v>2025</v>
      </c>
      <c r="B63">
        <v>29</v>
      </c>
      <c r="C63" t="s">
        <v>85</v>
      </c>
      <c r="D63" t="s">
        <v>113</v>
      </c>
      <c r="E63" t="s">
        <v>26</v>
      </c>
      <c r="F63" t="s">
        <v>27</v>
      </c>
      <c r="G63" t="s">
        <v>28</v>
      </c>
      <c r="H63">
        <v>13.5</v>
      </c>
      <c r="I63" t="s">
        <v>29</v>
      </c>
      <c r="J63">
        <v>0</v>
      </c>
      <c r="K63">
        <v>3</v>
      </c>
      <c r="L63">
        <v>0</v>
      </c>
      <c r="M63">
        <v>1</v>
      </c>
      <c r="N63">
        <v>0</v>
      </c>
      <c r="O63">
        <v>4</v>
      </c>
      <c r="P63" t="s">
        <v>30</v>
      </c>
      <c r="Q63" t="s">
        <v>31</v>
      </c>
      <c r="R63" t="s">
        <v>114</v>
      </c>
      <c r="S63" t="s">
        <v>33</v>
      </c>
      <c r="T63" t="s">
        <v>115</v>
      </c>
      <c r="U63" t="s">
        <v>33</v>
      </c>
    </row>
    <row r="64" spans="1:21" x14ac:dyDescent="0.3">
      <c r="A64">
        <v>2025</v>
      </c>
      <c r="B64">
        <v>30</v>
      </c>
      <c r="C64" t="s">
        <v>85</v>
      </c>
      <c r="D64" t="s">
        <v>116</v>
      </c>
      <c r="E64" t="s">
        <v>98</v>
      </c>
      <c r="F64" t="s">
        <v>29</v>
      </c>
      <c r="G64" t="s">
        <v>28</v>
      </c>
      <c r="H64">
        <v>13.5</v>
      </c>
      <c r="I64" t="s">
        <v>29</v>
      </c>
      <c r="J64">
        <v>3</v>
      </c>
      <c r="K64">
        <v>0</v>
      </c>
      <c r="L64">
        <v>0</v>
      </c>
      <c r="M64">
        <v>1</v>
      </c>
      <c r="N64">
        <v>0</v>
      </c>
      <c r="O64">
        <v>4</v>
      </c>
      <c r="P64" t="s">
        <v>30</v>
      </c>
      <c r="Q64" t="s">
        <v>117</v>
      </c>
      <c r="R64" t="s">
        <v>114</v>
      </c>
      <c r="S64" t="s">
        <v>33</v>
      </c>
      <c r="T64" t="s">
        <v>118</v>
      </c>
      <c r="U64" t="s">
        <v>33</v>
      </c>
    </row>
    <row r="65" spans="1:21" x14ac:dyDescent="0.3">
      <c r="A65">
        <v>2025</v>
      </c>
      <c r="B65">
        <v>31</v>
      </c>
      <c r="C65" t="s">
        <v>85</v>
      </c>
      <c r="D65" t="s">
        <v>119</v>
      </c>
      <c r="E65" t="s">
        <v>26</v>
      </c>
      <c r="F65" t="s">
        <v>264</v>
      </c>
      <c r="G65" t="s">
        <v>28</v>
      </c>
      <c r="H65">
        <v>13.5</v>
      </c>
      <c r="I65" t="s">
        <v>29</v>
      </c>
      <c r="J65">
        <v>0</v>
      </c>
      <c r="K65">
        <v>1</v>
      </c>
      <c r="L65">
        <v>0</v>
      </c>
      <c r="M65">
        <v>1</v>
      </c>
      <c r="N65">
        <v>0</v>
      </c>
      <c r="O65">
        <v>2</v>
      </c>
      <c r="P65" t="s">
        <v>30</v>
      </c>
      <c r="R65" t="s">
        <v>120</v>
      </c>
      <c r="S65" t="s">
        <v>33</v>
      </c>
      <c r="T65" t="s">
        <v>121</v>
      </c>
      <c r="U65" t="s">
        <v>33</v>
      </c>
    </row>
    <row r="66" spans="1:21" x14ac:dyDescent="0.3">
      <c r="A66">
        <v>2025</v>
      </c>
      <c r="B66">
        <v>32</v>
      </c>
      <c r="C66" t="s">
        <v>85</v>
      </c>
      <c r="D66" t="s">
        <v>122</v>
      </c>
      <c r="E66" t="s">
        <v>26</v>
      </c>
      <c r="F66" t="s">
        <v>123</v>
      </c>
      <c r="G66" t="s">
        <v>28</v>
      </c>
      <c r="H66">
        <v>13.5</v>
      </c>
      <c r="I66" t="s">
        <v>29</v>
      </c>
      <c r="J66">
        <v>0</v>
      </c>
      <c r="K66">
        <v>1</v>
      </c>
      <c r="L66">
        <v>0</v>
      </c>
      <c r="M66">
        <v>1</v>
      </c>
      <c r="N66">
        <v>0</v>
      </c>
      <c r="O66">
        <v>2</v>
      </c>
      <c r="P66" t="s">
        <v>30</v>
      </c>
      <c r="R66" t="s">
        <v>120</v>
      </c>
      <c r="S66" t="s">
        <v>33</v>
      </c>
      <c r="T66" t="s">
        <v>124</v>
      </c>
      <c r="U66" t="s">
        <v>33</v>
      </c>
    </row>
    <row r="67" spans="1:21" x14ac:dyDescent="0.3">
      <c r="A67">
        <v>2025</v>
      </c>
      <c r="B67">
        <v>33</v>
      </c>
      <c r="C67" t="s">
        <v>85</v>
      </c>
      <c r="D67" t="s">
        <v>125</v>
      </c>
      <c r="E67" t="s">
        <v>26</v>
      </c>
      <c r="F67" t="s">
        <v>264</v>
      </c>
      <c r="G67" t="s">
        <v>28</v>
      </c>
      <c r="H67">
        <v>13.5</v>
      </c>
      <c r="I67" t="s">
        <v>29</v>
      </c>
      <c r="J67">
        <v>0</v>
      </c>
      <c r="K67">
        <v>1</v>
      </c>
      <c r="L67">
        <v>0</v>
      </c>
      <c r="M67">
        <v>1</v>
      </c>
      <c r="N67">
        <v>0</v>
      </c>
      <c r="O67">
        <v>2</v>
      </c>
      <c r="P67" t="s">
        <v>30</v>
      </c>
      <c r="R67" t="s">
        <v>126</v>
      </c>
      <c r="S67" t="s">
        <v>33</v>
      </c>
      <c r="T67" t="s">
        <v>127</v>
      </c>
      <c r="U67" t="s">
        <v>33</v>
      </c>
    </row>
    <row r="68" spans="1:21" x14ac:dyDescent="0.3">
      <c r="A68">
        <v>2025</v>
      </c>
      <c r="B68">
        <v>34</v>
      </c>
      <c r="C68" t="s">
        <v>85</v>
      </c>
      <c r="D68" t="s">
        <v>128</v>
      </c>
      <c r="E68" t="s">
        <v>26</v>
      </c>
      <c r="F68" t="s">
        <v>264</v>
      </c>
      <c r="G68" t="s">
        <v>28</v>
      </c>
      <c r="H68">
        <v>13.5</v>
      </c>
      <c r="I68" t="s">
        <v>29</v>
      </c>
      <c r="J68">
        <v>0</v>
      </c>
      <c r="K68">
        <v>1</v>
      </c>
      <c r="L68">
        <v>0</v>
      </c>
      <c r="M68">
        <v>1</v>
      </c>
      <c r="N68">
        <v>0</v>
      </c>
      <c r="O68">
        <v>2</v>
      </c>
      <c r="P68" t="s">
        <v>30</v>
      </c>
      <c r="R68" t="s">
        <v>126</v>
      </c>
      <c r="S68" t="s">
        <v>33</v>
      </c>
      <c r="T68" t="s">
        <v>129</v>
      </c>
      <c r="U68" t="s">
        <v>33</v>
      </c>
    </row>
    <row r="69" spans="1:21" x14ac:dyDescent="0.3">
      <c r="A69">
        <v>2025</v>
      </c>
      <c r="B69">
        <v>35</v>
      </c>
      <c r="C69" t="s">
        <v>85</v>
      </c>
      <c r="D69" t="s">
        <v>130</v>
      </c>
      <c r="E69" t="s">
        <v>26</v>
      </c>
      <c r="F69" t="s">
        <v>264</v>
      </c>
      <c r="G69" t="s">
        <v>28</v>
      </c>
      <c r="H69">
        <v>13.5</v>
      </c>
      <c r="I69" t="s">
        <v>29</v>
      </c>
      <c r="J69">
        <v>0</v>
      </c>
      <c r="K69">
        <v>1</v>
      </c>
      <c r="L69">
        <v>0</v>
      </c>
      <c r="M69">
        <v>1</v>
      </c>
      <c r="N69">
        <v>0</v>
      </c>
      <c r="O69">
        <v>2</v>
      </c>
      <c r="P69" t="s">
        <v>30</v>
      </c>
      <c r="R69" t="s">
        <v>131</v>
      </c>
      <c r="S69" t="s">
        <v>33</v>
      </c>
      <c r="T69" t="s">
        <v>132</v>
      </c>
      <c r="U69" t="s">
        <v>33</v>
      </c>
    </row>
    <row r="70" spans="1:21" x14ac:dyDescent="0.3">
      <c r="A70">
        <v>2025</v>
      </c>
      <c r="B70">
        <v>36</v>
      </c>
      <c r="C70" t="s">
        <v>85</v>
      </c>
      <c r="D70" t="s">
        <v>133</v>
      </c>
      <c r="E70" t="s">
        <v>26</v>
      </c>
      <c r="F70" t="s">
        <v>27</v>
      </c>
      <c r="G70" t="s">
        <v>28</v>
      </c>
      <c r="H70">
        <v>13.5</v>
      </c>
      <c r="I70" t="s">
        <v>29</v>
      </c>
      <c r="J70">
        <v>0</v>
      </c>
      <c r="K70">
        <v>3</v>
      </c>
      <c r="L70">
        <v>0</v>
      </c>
      <c r="M70">
        <v>1</v>
      </c>
      <c r="N70">
        <v>0</v>
      </c>
      <c r="O70">
        <v>4</v>
      </c>
      <c r="P70" t="s">
        <v>30</v>
      </c>
      <c r="R70" t="s">
        <v>134</v>
      </c>
      <c r="S70" t="s">
        <v>33</v>
      </c>
      <c r="T70" t="s">
        <v>135</v>
      </c>
      <c r="U70" t="s">
        <v>33</v>
      </c>
    </row>
    <row r="71" spans="1:21" x14ac:dyDescent="0.3">
      <c r="A71">
        <v>2025</v>
      </c>
      <c r="B71">
        <v>37</v>
      </c>
      <c r="C71" t="s">
        <v>85</v>
      </c>
      <c r="D71" t="s">
        <v>136</v>
      </c>
      <c r="E71" t="s">
        <v>26</v>
      </c>
      <c r="F71" t="s">
        <v>111</v>
      </c>
      <c r="G71" t="s">
        <v>28</v>
      </c>
      <c r="H71">
        <v>13.5</v>
      </c>
      <c r="I71" t="s">
        <v>29</v>
      </c>
      <c r="J71">
        <v>0</v>
      </c>
      <c r="K71">
        <v>1</v>
      </c>
      <c r="L71">
        <v>0</v>
      </c>
      <c r="M71">
        <v>1</v>
      </c>
      <c r="N71">
        <v>0</v>
      </c>
      <c r="O71">
        <v>2</v>
      </c>
      <c r="P71" t="s">
        <v>30</v>
      </c>
      <c r="R71" t="s">
        <v>137</v>
      </c>
      <c r="S71" t="s">
        <v>33</v>
      </c>
      <c r="T71" t="s">
        <v>138</v>
      </c>
      <c r="U71" t="s">
        <v>33</v>
      </c>
    </row>
    <row r="72" spans="1:21" x14ac:dyDescent="0.3">
      <c r="A72">
        <v>2025</v>
      </c>
      <c r="B72">
        <v>38</v>
      </c>
      <c r="C72" t="s">
        <v>85</v>
      </c>
      <c r="D72" t="s">
        <v>139</v>
      </c>
      <c r="E72" t="s">
        <v>26</v>
      </c>
      <c r="F72" t="s">
        <v>27</v>
      </c>
      <c r="G72" t="s">
        <v>28</v>
      </c>
      <c r="H72">
        <v>13.5</v>
      </c>
      <c r="I72" t="s">
        <v>29</v>
      </c>
      <c r="J72">
        <v>0</v>
      </c>
      <c r="K72">
        <v>3</v>
      </c>
      <c r="L72">
        <v>0</v>
      </c>
      <c r="M72">
        <v>1</v>
      </c>
      <c r="N72">
        <v>0</v>
      </c>
      <c r="O72">
        <v>4</v>
      </c>
      <c r="P72" t="s">
        <v>30</v>
      </c>
      <c r="R72" t="s">
        <v>137</v>
      </c>
      <c r="S72" t="s">
        <v>33</v>
      </c>
      <c r="T72" t="s">
        <v>140</v>
      </c>
      <c r="U72" t="s">
        <v>33</v>
      </c>
    </row>
    <row r="73" spans="1:21" x14ac:dyDescent="0.3">
      <c r="A73">
        <v>2025</v>
      </c>
      <c r="B73">
        <v>39</v>
      </c>
      <c r="C73" t="s">
        <v>85</v>
      </c>
      <c r="D73" t="s">
        <v>141</v>
      </c>
      <c r="E73" t="s">
        <v>26</v>
      </c>
      <c r="F73" t="s">
        <v>111</v>
      </c>
      <c r="G73" t="s">
        <v>28</v>
      </c>
      <c r="H73">
        <v>13.5</v>
      </c>
      <c r="I73" t="s">
        <v>29</v>
      </c>
      <c r="J73">
        <v>0</v>
      </c>
      <c r="K73">
        <v>1</v>
      </c>
      <c r="L73">
        <v>0</v>
      </c>
      <c r="M73">
        <v>1</v>
      </c>
      <c r="N73">
        <v>0</v>
      </c>
      <c r="O73">
        <v>2</v>
      </c>
      <c r="P73" t="s">
        <v>30</v>
      </c>
      <c r="R73" t="s">
        <v>137</v>
      </c>
      <c r="S73" t="s">
        <v>33</v>
      </c>
      <c r="T73" t="s">
        <v>142</v>
      </c>
      <c r="U73" t="s">
        <v>33</v>
      </c>
    </row>
    <row r="74" spans="1:21" x14ac:dyDescent="0.3">
      <c r="A74">
        <v>2025</v>
      </c>
      <c r="B74">
        <v>40</v>
      </c>
      <c r="C74" t="s">
        <v>85</v>
      </c>
      <c r="D74" t="s">
        <v>143</v>
      </c>
      <c r="E74" t="s">
        <v>26</v>
      </c>
      <c r="F74" t="s">
        <v>264</v>
      </c>
      <c r="G74" t="s">
        <v>28</v>
      </c>
      <c r="H74">
        <v>13.5</v>
      </c>
      <c r="I74" t="s">
        <v>29</v>
      </c>
      <c r="J74">
        <v>0</v>
      </c>
      <c r="K74">
        <v>1</v>
      </c>
      <c r="L74">
        <v>0</v>
      </c>
      <c r="M74">
        <v>1</v>
      </c>
      <c r="N74">
        <v>0</v>
      </c>
      <c r="O74">
        <v>2</v>
      </c>
      <c r="P74" t="s">
        <v>30</v>
      </c>
      <c r="R74" t="s">
        <v>144</v>
      </c>
      <c r="S74" t="s">
        <v>33</v>
      </c>
      <c r="T74" t="s">
        <v>145</v>
      </c>
      <c r="U74" t="s">
        <v>33</v>
      </c>
    </row>
    <row r="75" spans="1:21" x14ac:dyDescent="0.3">
      <c r="A75">
        <v>2025</v>
      </c>
      <c r="B75">
        <v>41</v>
      </c>
      <c r="C75" t="s">
        <v>85</v>
      </c>
      <c r="D75" t="s">
        <v>146</v>
      </c>
      <c r="E75" t="s">
        <v>26</v>
      </c>
      <c r="F75" t="s">
        <v>29</v>
      </c>
      <c r="G75" t="s">
        <v>28</v>
      </c>
      <c r="H75">
        <v>13.5</v>
      </c>
      <c r="I75" t="s">
        <v>29</v>
      </c>
      <c r="J75">
        <v>0</v>
      </c>
      <c r="K75">
        <v>0</v>
      </c>
      <c r="L75">
        <v>0</v>
      </c>
      <c r="M75">
        <v>1</v>
      </c>
      <c r="N75">
        <v>0</v>
      </c>
      <c r="O75">
        <v>1</v>
      </c>
      <c r="P75" t="s">
        <v>30</v>
      </c>
      <c r="Q75" t="s">
        <v>147</v>
      </c>
      <c r="R75" t="s">
        <v>144</v>
      </c>
      <c r="T75" t="s">
        <v>148</v>
      </c>
    </row>
    <row r="76" spans="1:21" x14ac:dyDescent="0.3">
      <c r="A76">
        <v>2025</v>
      </c>
      <c r="B76">
        <v>42</v>
      </c>
      <c r="C76" t="s">
        <v>85</v>
      </c>
      <c r="D76" t="s">
        <v>149</v>
      </c>
      <c r="E76" t="s">
        <v>26</v>
      </c>
      <c r="F76" t="s">
        <v>27</v>
      </c>
      <c r="G76" t="s">
        <v>28</v>
      </c>
      <c r="H76">
        <v>13.5</v>
      </c>
      <c r="I76" t="s">
        <v>29</v>
      </c>
      <c r="J76">
        <v>0</v>
      </c>
      <c r="K76">
        <v>3</v>
      </c>
      <c r="L76">
        <v>0</v>
      </c>
      <c r="M76">
        <v>1</v>
      </c>
      <c r="N76">
        <v>0</v>
      </c>
      <c r="O76">
        <v>4</v>
      </c>
      <c r="P76" t="s">
        <v>30</v>
      </c>
      <c r="R76" t="s">
        <v>150</v>
      </c>
      <c r="T76" t="s">
        <v>151</v>
      </c>
    </row>
  </sheetData>
  <phoneticPr fontId="2" type="noConversion"/>
  <pageMargins left="0.7" right="0.7" top="0.75" bottom="0.75" header="0.3" footer="0.3"/>
  <ignoredErrors>
    <ignoredError sqref="E1:U1 B3:U4 E2:U2 C6:G6 C5:G5 I5 I6:I34 C8:G24 C7:E7 G7 C26:G34 C25:E25 G25 P5:U5 P6:U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75C1C-0928-468A-B68C-9E2D5EC47420}">
  <sheetPr>
    <pageSetUpPr fitToPage="1"/>
  </sheetPr>
  <dimension ref="A2:S38"/>
  <sheetViews>
    <sheetView view="pageBreakPreview" zoomScaleNormal="100" zoomScaleSheetLayoutView="100" workbookViewId="0">
      <selection activeCell="S18" sqref="S18"/>
    </sheetView>
  </sheetViews>
  <sheetFormatPr defaultRowHeight="16.5" x14ac:dyDescent="0.3"/>
  <cols>
    <col min="1" max="2" width="8.88671875" style="3"/>
    <col min="3" max="3" width="10.33203125" style="8" customWidth="1"/>
    <col min="4" max="7" width="8.88671875" style="3"/>
    <col min="8" max="8" width="12.33203125" style="8" customWidth="1"/>
    <col min="9" max="12" width="8.88671875" style="3"/>
    <col min="13" max="13" width="12.33203125" style="8" customWidth="1"/>
    <col min="14" max="15" width="3.88671875" style="8" customWidth="1"/>
    <col min="16" max="16" width="10.33203125" style="8" customWidth="1"/>
    <col min="17" max="16384" width="8.88671875" style="3"/>
  </cols>
  <sheetData>
    <row r="2" spans="1:19" x14ac:dyDescent="0.3">
      <c r="A2" s="1" t="s">
        <v>242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9" ht="6.7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9" x14ac:dyDescent="0.3">
      <c r="A4" s="9" t="s">
        <v>243</v>
      </c>
      <c r="B4" s="11"/>
      <c r="C4" s="9" t="s">
        <v>244</v>
      </c>
      <c r="D4" s="11"/>
      <c r="E4" s="9" t="s">
        <v>245</v>
      </c>
      <c r="F4" s="11"/>
      <c r="G4" s="9" t="s">
        <v>246</v>
      </c>
      <c r="H4" s="10"/>
      <c r="I4" s="11"/>
      <c r="J4" s="9" t="s">
        <v>247</v>
      </c>
      <c r="K4" s="10"/>
      <c r="L4" s="11"/>
      <c r="M4" s="9" t="s">
        <v>248</v>
      </c>
      <c r="N4" s="10"/>
      <c r="O4" s="10"/>
      <c r="P4" s="11"/>
    </row>
    <row r="5" spans="1:19" x14ac:dyDescent="0.3">
      <c r="A5" s="9" t="s">
        <v>258</v>
      </c>
      <c r="B5" s="11"/>
      <c r="C5" s="9" t="str">
        <f>RawData!C2</f>
        <v>성남시</v>
      </c>
      <c r="D5" s="11"/>
      <c r="E5" s="9" t="s">
        <v>249</v>
      </c>
      <c r="F5" s="11"/>
      <c r="G5" s="9" t="s">
        <v>250</v>
      </c>
      <c r="H5" s="10"/>
      <c r="I5" s="11"/>
      <c r="J5" s="9" t="str">
        <f>RawData!B2</f>
        <v>신분당선㈜</v>
      </c>
      <c r="K5" s="10"/>
      <c r="L5" s="11"/>
      <c r="M5" s="9" t="s">
        <v>251</v>
      </c>
      <c r="N5" s="10"/>
      <c r="O5" s="10"/>
      <c r="P5" s="11"/>
    </row>
    <row r="6" spans="1:19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9" x14ac:dyDescent="0.3">
      <c r="A7" s="12" t="s">
        <v>4</v>
      </c>
      <c r="B7" s="12" t="s">
        <v>5</v>
      </c>
      <c r="C7" s="12" t="s">
        <v>6</v>
      </c>
      <c r="D7" s="14" t="s">
        <v>252</v>
      </c>
      <c r="E7" s="10"/>
      <c r="F7" s="10"/>
      <c r="G7" s="10"/>
      <c r="H7" s="11"/>
      <c r="I7" s="14" t="s">
        <v>253</v>
      </c>
      <c r="J7" s="10"/>
      <c r="K7" s="10"/>
      <c r="L7" s="10"/>
      <c r="M7" s="11"/>
      <c r="N7" s="12" t="s">
        <v>17</v>
      </c>
      <c r="O7" s="12" t="s">
        <v>18</v>
      </c>
      <c r="P7" s="12" t="s">
        <v>254</v>
      </c>
    </row>
    <row r="8" spans="1:19" s="5" customFormat="1" ht="24.75" customHeight="1" x14ac:dyDescent="0.3">
      <c r="A8" s="13"/>
      <c r="B8" s="13"/>
      <c r="C8" s="13"/>
      <c r="D8" s="4" t="s">
        <v>7</v>
      </c>
      <c r="E8" s="4" t="s">
        <v>8</v>
      </c>
      <c r="F8" s="4" t="s">
        <v>9</v>
      </c>
      <c r="G8" s="4" t="s">
        <v>10</v>
      </c>
      <c r="H8" s="4" t="s">
        <v>255</v>
      </c>
      <c r="I8" s="4" t="s">
        <v>256</v>
      </c>
      <c r="J8" s="4" t="s">
        <v>8</v>
      </c>
      <c r="K8" s="4" t="s">
        <v>9</v>
      </c>
      <c r="L8" s="4" t="s">
        <v>257</v>
      </c>
      <c r="M8" s="4" t="s">
        <v>16</v>
      </c>
      <c r="N8" s="13"/>
      <c r="O8" s="13"/>
      <c r="P8" s="13"/>
      <c r="Q8" s="3"/>
      <c r="R8" s="3"/>
      <c r="S8" s="3"/>
    </row>
    <row r="9" spans="1:19" x14ac:dyDescent="0.3">
      <c r="A9" s="6" t="str">
        <f>RIGHT(RawData!B5,2)</f>
        <v>1</v>
      </c>
      <c r="B9" s="6" t="str">
        <f>RawData!C5</f>
        <v>판교로</v>
      </c>
      <c r="C9" s="6" t="str">
        <f>RawData!D5</f>
        <v>26-성남시-01</v>
      </c>
      <c r="D9" s="6" t="str">
        <f>RawData!E5</f>
        <v>양호</v>
      </c>
      <c r="E9" s="6" t="str">
        <f>RawData!F5</f>
        <v>횡균열</v>
      </c>
      <c r="F9" s="6" t="str">
        <f>RawData!G5</f>
        <v>양호</v>
      </c>
      <c r="G9" s="6">
        <f>RawData!H5</f>
        <v>14.5</v>
      </c>
      <c r="H9" s="6" t="str">
        <f>RawData!I5</f>
        <v>-</v>
      </c>
      <c r="I9" s="6">
        <f>IF(D9="양호",0,IF(D9="보통",3,IF(D9="불량",9)))</f>
        <v>0</v>
      </c>
      <c r="J9" s="6">
        <f t="shared" ref="J9:J38" si="0">IF(E9="거북등",3,IF(RIGHT(E9,2)="균열",1,IF(E9="-",0)))</f>
        <v>1</v>
      </c>
      <c r="K9" s="6">
        <f t="shared" ref="K9:K38" si="1">IF(F9="유출",9,IF(F9="습윤",1,IF(F9="양호",0,IF(F9="건조",0))))</f>
        <v>0</v>
      </c>
      <c r="L9" s="6">
        <f>IF(G9&gt;=30,2,IF(G9&gt;=10,1,0))</f>
        <v>1</v>
      </c>
      <c r="M9" s="6">
        <f t="shared" ref="M9:M38" si="2">IF(H9="-",0,1)</f>
        <v>0</v>
      </c>
      <c r="N9" s="6">
        <f t="shared" ref="N9:N38" si="3">SUM(I9:M9)</f>
        <v>2</v>
      </c>
      <c r="O9" s="6" t="str">
        <f t="shared" ref="O9:O38" si="4">IF(N9&lt;6,"일반",IF(N9&lt;9,"우선",IF(N9&gt;=9,"긴급")))</f>
        <v>일반</v>
      </c>
      <c r="P9" s="7" t="str">
        <f>RawData!Q5</f>
        <v>-</v>
      </c>
    </row>
    <row r="10" spans="1:19" x14ac:dyDescent="0.3">
      <c r="A10" s="6" t="str">
        <f>RIGHT(RawData!B6,2)</f>
        <v>2</v>
      </c>
      <c r="B10" s="6" t="str">
        <f>RawData!C36</f>
        <v>판교로</v>
      </c>
      <c r="C10" s="6" t="str">
        <f>RawData!D6</f>
        <v>26-성남시-02</v>
      </c>
      <c r="D10" s="6" t="str">
        <f>RawData!E6</f>
        <v>양호</v>
      </c>
      <c r="E10" s="6" t="str">
        <f>RawData!F6</f>
        <v>종균열</v>
      </c>
      <c r="F10" s="6" t="str">
        <f>RawData!G6</f>
        <v>양호</v>
      </c>
      <c r="G10" s="6">
        <f>RawData!H6</f>
        <v>14.5</v>
      </c>
      <c r="H10" s="6" t="str">
        <f>RawData!I6</f>
        <v>-</v>
      </c>
      <c r="I10" s="6">
        <f t="shared" ref="I10:I38" si="5">IF(D10="양호",0,IF(D10="보통",3,IF(D10="불량",9)))</f>
        <v>0</v>
      </c>
      <c r="J10" s="6">
        <f t="shared" si="0"/>
        <v>1</v>
      </c>
      <c r="K10" s="6">
        <f t="shared" si="1"/>
        <v>0</v>
      </c>
      <c r="L10" s="6">
        <f t="shared" ref="L10:L38" si="6">IF(G10&gt;=30,2,IF(G10&gt;=10,1,0))</f>
        <v>1</v>
      </c>
      <c r="M10" s="6">
        <f t="shared" si="2"/>
        <v>0</v>
      </c>
      <c r="N10" s="6">
        <f t="shared" si="3"/>
        <v>2</v>
      </c>
      <c r="O10" s="6" t="str">
        <f t="shared" si="4"/>
        <v>일반</v>
      </c>
      <c r="P10" s="7" t="str">
        <f>RawData!Q6</f>
        <v>-</v>
      </c>
    </row>
    <row r="11" spans="1:19" x14ac:dyDescent="0.3">
      <c r="A11" s="6" t="str">
        <f>RIGHT(RawData!B7,2)</f>
        <v>3</v>
      </c>
      <c r="B11" s="6" t="str">
        <f>RawData!C37</f>
        <v>판교로</v>
      </c>
      <c r="C11" s="6" t="str">
        <f>RawData!D7</f>
        <v>26-성남시-03</v>
      </c>
      <c r="D11" s="6" t="str">
        <f>RawData!E7</f>
        <v>양호</v>
      </c>
      <c r="E11" s="6" t="str">
        <f>RawData!F7</f>
        <v>-</v>
      </c>
      <c r="F11" s="6" t="str">
        <f>RawData!G7</f>
        <v>양호</v>
      </c>
      <c r="G11" s="6">
        <f>RawData!H7</f>
        <v>14.5</v>
      </c>
      <c r="H11" s="6" t="str">
        <f>RawData!I7</f>
        <v>-</v>
      </c>
      <c r="I11" s="6">
        <f t="shared" si="5"/>
        <v>0</v>
      </c>
      <c r="J11" s="6">
        <f t="shared" si="0"/>
        <v>0</v>
      </c>
      <c r="K11" s="6">
        <f t="shared" si="1"/>
        <v>0</v>
      </c>
      <c r="L11" s="6">
        <f t="shared" si="6"/>
        <v>1</v>
      </c>
      <c r="M11" s="6">
        <f t="shared" si="2"/>
        <v>0</v>
      </c>
      <c r="N11" s="6">
        <f t="shared" si="3"/>
        <v>1</v>
      </c>
      <c r="O11" s="6" t="str">
        <f t="shared" si="4"/>
        <v>일반</v>
      </c>
      <c r="P11" s="7" t="str">
        <f>RawData!Q7</f>
        <v>5cm이하 침하</v>
      </c>
    </row>
    <row r="12" spans="1:19" x14ac:dyDescent="0.3">
      <c r="A12" s="6" t="str">
        <f>RIGHT(RawData!B8,2)</f>
        <v>4</v>
      </c>
      <c r="B12" s="6" t="str">
        <f>RawData!C38</f>
        <v>판교역로</v>
      </c>
      <c r="C12" s="6" t="str">
        <f>RawData!D8</f>
        <v>26-성남시-04</v>
      </c>
      <c r="D12" s="6" t="str">
        <f>RawData!E8</f>
        <v>양호</v>
      </c>
      <c r="E12" s="6" t="str">
        <f>RawData!F8</f>
        <v>거북등</v>
      </c>
      <c r="F12" s="6" t="str">
        <f>RawData!G8</f>
        <v>양호</v>
      </c>
      <c r="G12" s="6">
        <f>RawData!H8</f>
        <v>14.5</v>
      </c>
      <c r="H12" s="6" t="str">
        <f>RawData!I8</f>
        <v>-</v>
      </c>
      <c r="I12" s="6">
        <f t="shared" si="5"/>
        <v>0</v>
      </c>
      <c r="J12" s="6">
        <f t="shared" si="0"/>
        <v>3</v>
      </c>
      <c r="K12" s="6">
        <f t="shared" si="1"/>
        <v>0</v>
      </c>
      <c r="L12" s="6">
        <f t="shared" si="6"/>
        <v>1</v>
      </c>
      <c r="M12" s="6">
        <f t="shared" si="2"/>
        <v>0</v>
      </c>
      <c r="N12" s="6">
        <f t="shared" si="3"/>
        <v>4</v>
      </c>
      <c r="O12" s="6" t="str">
        <f t="shared" si="4"/>
        <v>일반</v>
      </c>
      <c r="P12" s="7" t="str">
        <f>RawData!Q8</f>
        <v>-</v>
      </c>
    </row>
    <row r="13" spans="1:19" x14ac:dyDescent="0.3">
      <c r="A13" s="6" t="str">
        <f>RIGHT(RawData!B9,2)</f>
        <v>5</v>
      </c>
      <c r="B13" s="6" t="str">
        <f>RawData!C39</f>
        <v>판교역로</v>
      </c>
      <c r="C13" s="6" t="str">
        <f>RawData!D9</f>
        <v>26-성남시-05</v>
      </c>
      <c r="D13" s="6" t="str">
        <f>RawData!E9</f>
        <v>양호</v>
      </c>
      <c r="E13" s="6" t="str">
        <f>RawData!F9</f>
        <v>종,횡균열</v>
      </c>
      <c r="F13" s="6" t="str">
        <f>RawData!G9</f>
        <v>양호</v>
      </c>
      <c r="G13" s="6">
        <f>RawData!H9</f>
        <v>14.5</v>
      </c>
      <c r="H13" s="6" t="str">
        <f>RawData!I9</f>
        <v>-</v>
      </c>
      <c r="I13" s="6">
        <f t="shared" si="5"/>
        <v>0</v>
      </c>
      <c r="J13" s="6">
        <f t="shared" si="0"/>
        <v>1</v>
      </c>
      <c r="K13" s="6">
        <f t="shared" si="1"/>
        <v>0</v>
      </c>
      <c r="L13" s="6">
        <f t="shared" si="6"/>
        <v>1</v>
      </c>
      <c r="M13" s="6">
        <f t="shared" si="2"/>
        <v>0</v>
      </c>
      <c r="N13" s="6">
        <f t="shared" si="3"/>
        <v>2</v>
      </c>
      <c r="O13" s="6" t="str">
        <f t="shared" si="4"/>
        <v>일반</v>
      </c>
      <c r="P13" s="7" t="str">
        <f>RawData!Q9</f>
        <v>-</v>
      </c>
    </row>
    <row r="14" spans="1:19" x14ac:dyDescent="0.3">
      <c r="A14" s="6" t="str">
        <f>RIGHT(RawData!B10,2)</f>
        <v>6</v>
      </c>
      <c r="B14" s="6" t="str">
        <f>RawData!C40</f>
        <v>대왕판교로</v>
      </c>
      <c r="C14" s="6" t="str">
        <f>RawData!D10</f>
        <v>26-성남시-06</v>
      </c>
      <c r="D14" s="6" t="str">
        <f>RawData!E10</f>
        <v>양호</v>
      </c>
      <c r="E14" s="6" t="str">
        <f>RawData!F10</f>
        <v>종균열</v>
      </c>
      <c r="F14" s="6" t="str">
        <f>RawData!G10</f>
        <v>양호</v>
      </c>
      <c r="G14" s="6">
        <f>RawData!H10</f>
        <v>14.5</v>
      </c>
      <c r="H14" s="6" t="str">
        <f>RawData!I10</f>
        <v>-</v>
      </c>
      <c r="I14" s="6">
        <f t="shared" si="5"/>
        <v>0</v>
      </c>
      <c r="J14" s="6">
        <f t="shared" si="0"/>
        <v>1</v>
      </c>
      <c r="K14" s="6">
        <f t="shared" si="1"/>
        <v>0</v>
      </c>
      <c r="L14" s="6">
        <f t="shared" si="6"/>
        <v>1</v>
      </c>
      <c r="M14" s="6">
        <f t="shared" si="2"/>
        <v>0</v>
      </c>
      <c r="N14" s="6">
        <f t="shared" si="3"/>
        <v>2</v>
      </c>
      <c r="O14" s="6" t="str">
        <f t="shared" si="4"/>
        <v>일반</v>
      </c>
      <c r="P14" s="7" t="str">
        <f>RawData!Q10</f>
        <v>-</v>
      </c>
    </row>
    <row r="15" spans="1:19" x14ac:dyDescent="0.3">
      <c r="A15" s="6" t="str">
        <f>RIGHT(RawData!B11,2)</f>
        <v>7</v>
      </c>
      <c r="B15" s="6" t="str">
        <f>RawData!C41</f>
        <v>판교역로</v>
      </c>
      <c r="C15" s="6" t="str">
        <f>RawData!D11</f>
        <v>26-성남시-07</v>
      </c>
      <c r="D15" s="6" t="str">
        <f>RawData!E11</f>
        <v>양호</v>
      </c>
      <c r="E15" s="6" t="str">
        <f>RawData!F11</f>
        <v>거북등</v>
      </c>
      <c r="F15" s="6" t="str">
        <f>RawData!G11</f>
        <v>양호</v>
      </c>
      <c r="G15" s="6">
        <f>RawData!H11</f>
        <v>14.5</v>
      </c>
      <c r="H15" s="6" t="str">
        <f>RawData!I11</f>
        <v>-</v>
      </c>
      <c r="I15" s="6">
        <f t="shared" si="5"/>
        <v>0</v>
      </c>
      <c r="J15" s="6">
        <f t="shared" si="0"/>
        <v>3</v>
      </c>
      <c r="K15" s="6">
        <f t="shared" si="1"/>
        <v>0</v>
      </c>
      <c r="L15" s="6">
        <f t="shared" si="6"/>
        <v>1</v>
      </c>
      <c r="M15" s="6">
        <f t="shared" si="2"/>
        <v>0</v>
      </c>
      <c r="N15" s="6">
        <f t="shared" si="3"/>
        <v>4</v>
      </c>
      <c r="O15" s="6" t="str">
        <f t="shared" si="4"/>
        <v>일반</v>
      </c>
      <c r="P15" s="7" t="str">
        <f>RawData!Q11</f>
        <v>-</v>
      </c>
    </row>
    <row r="16" spans="1:19" x14ac:dyDescent="0.3">
      <c r="A16" s="6" t="str">
        <f>RIGHT(RawData!B12,2)</f>
        <v>8</v>
      </c>
      <c r="B16" s="6" t="str">
        <f>RawData!C42</f>
        <v>대왕판교로</v>
      </c>
      <c r="C16" s="6" t="str">
        <f>RawData!D12</f>
        <v>26-성남시-08</v>
      </c>
      <c r="D16" s="6" t="str">
        <f>RawData!E12</f>
        <v>양호</v>
      </c>
      <c r="E16" s="6" t="str">
        <f>RawData!F12</f>
        <v>거북등</v>
      </c>
      <c r="F16" s="6" t="str">
        <f>RawData!G12</f>
        <v>양호</v>
      </c>
      <c r="G16" s="6">
        <f>RawData!H12</f>
        <v>14.5</v>
      </c>
      <c r="H16" s="6" t="str">
        <f>RawData!I12</f>
        <v>-</v>
      </c>
      <c r="I16" s="6">
        <f t="shared" si="5"/>
        <v>0</v>
      </c>
      <c r="J16" s="6">
        <f t="shared" si="0"/>
        <v>3</v>
      </c>
      <c r="K16" s="6">
        <f t="shared" si="1"/>
        <v>0</v>
      </c>
      <c r="L16" s="6">
        <f t="shared" si="6"/>
        <v>1</v>
      </c>
      <c r="M16" s="6">
        <f t="shared" si="2"/>
        <v>0</v>
      </c>
      <c r="N16" s="6">
        <f t="shared" si="3"/>
        <v>4</v>
      </c>
      <c r="O16" s="6" t="str">
        <f t="shared" si="4"/>
        <v>일반</v>
      </c>
      <c r="P16" s="7" t="str">
        <f>RawData!Q12</f>
        <v>-</v>
      </c>
    </row>
    <row r="17" spans="1:16" x14ac:dyDescent="0.3">
      <c r="A17" s="6" t="str">
        <f>RIGHT(RawData!B13,2)</f>
        <v>9</v>
      </c>
      <c r="B17" s="6" t="str">
        <f>RawData!C43</f>
        <v>판교역로</v>
      </c>
      <c r="C17" s="6" t="str">
        <f>RawData!D13</f>
        <v>26-성남시-09</v>
      </c>
      <c r="D17" s="6" t="str">
        <f>RawData!E13</f>
        <v>양호</v>
      </c>
      <c r="E17" s="6" t="str">
        <f>RawData!F13</f>
        <v>거북등</v>
      </c>
      <c r="F17" s="6" t="str">
        <f>RawData!G13</f>
        <v>양호</v>
      </c>
      <c r="G17" s="6">
        <f>RawData!H13</f>
        <v>14.5</v>
      </c>
      <c r="H17" s="6" t="str">
        <f>RawData!I13</f>
        <v>-</v>
      </c>
      <c r="I17" s="6">
        <f t="shared" si="5"/>
        <v>0</v>
      </c>
      <c r="J17" s="6">
        <f t="shared" si="0"/>
        <v>3</v>
      </c>
      <c r="K17" s="6">
        <f t="shared" si="1"/>
        <v>0</v>
      </c>
      <c r="L17" s="6">
        <f t="shared" si="6"/>
        <v>1</v>
      </c>
      <c r="M17" s="6">
        <f t="shared" si="2"/>
        <v>0</v>
      </c>
      <c r="N17" s="6">
        <f t="shared" si="3"/>
        <v>4</v>
      </c>
      <c r="O17" s="6" t="str">
        <f t="shared" si="4"/>
        <v>일반</v>
      </c>
      <c r="P17" s="7" t="str">
        <f>RawData!Q13</f>
        <v>-</v>
      </c>
    </row>
    <row r="18" spans="1:16" x14ac:dyDescent="0.3">
      <c r="A18" s="6" t="str">
        <f>RIGHT(RawData!B14,2)</f>
        <v>10</v>
      </c>
      <c r="B18" s="6" t="str">
        <f>RawData!C44</f>
        <v>판교역로</v>
      </c>
      <c r="C18" s="6" t="str">
        <f>RawData!D14</f>
        <v>26-성남시-10</v>
      </c>
      <c r="D18" s="6" t="str">
        <f>RawData!E14</f>
        <v>양호</v>
      </c>
      <c r="E18" s="6" t="str">
        <f>RawData!F14</f>
        <v>거북등</v>
      </c>
      <c r="F18" s="6" t="str">
        <f>RawData!G14</f>
        <v>양호</v>
      </c>
      <c r="G18" s="6">
        <f>RawData!H14</f>
        <v>14.5</v>
      </c>
      <c r="H18" s="6" t="str">
        <f>RawData!I14</f>
        <v>-</v>
      </c>
      <c r="I18" s="6">
        <f t="shared" si="5"/>
        <v>0</v>
      </c>
      <c r="J18" s="6">
        <f t="shared" si="0"/>
        <v>3</v>
      </c>
      <c r="K18" s="6">
        <f t="shared" si="1"/>
        <v>0</v>
      </c>
      <c r="L18" s="6">
        <f t="shared" si="6"/>
        <v>1</v>
      </c>
      <c r="M18" s="6">
        <f t="shared" si="2"/>
        <v>0</v>
      </c>
      <c r="N18" s="6">
        <f t="shared" si="3"/>
        <v>4</v>
      </c>
      <c r="O18" s="6" t="str">
        <f t="shared" si="4"/>
        <v>일반</v>
      </c>
      <c r="P18" s="7" t="str">
        <f>RawData!Q14</f>
        <v>-</v>
      </c>
    </row>
    <row r="19" spans="1:16" x14ac:dyDescent="0.3">
      <c r="A19" s="6" t="str">
        <f>RIGHT(RawData!B15,2)</f>
        <v>11</v>
      </c>
      <c r="B19" s="6" t="str">
        <f>RawData!C45</f>
        <v>서현로</v>
      </c>
      <c r="C19" s="6" t="str">
        <f>RawData!D15</f>
        <v>26-성남시-11</v>
      </c>
      <c r="D19" s="6" t="str">
        <f>RawData!E15</f>
        <v>양호</v>
      </c>
      <c r="E19" s="6" t="str">
        <f>RawData!F15</f>
        <v>횡균열</v>
      </c>
      <c r="F19" s="6" t="str">
        <f>RawData!G15</f>
        <v>양호</v>
      </c>
      <c r="G19" s="6">
        <f>RawData!H15</f>
        <v>14.5</v>
      </c>
      <c r="H19" s="6" t="str">
        <f>RawData!I15</f>
        <v>-</v>
      </c>
      <c r="I19" s="6">
        <f t="shared" si="5"/>
        <v>0</v>
      </c>
      <c r="J19" s="6">
        <f t="shared" si="0"/>
        <v>1</v>
      </c>
      <c r="K19" s="6">
        <f t="shared" si="1"/>
        <v>0</v>
      </c>
      <c r="L19" s="6">
        <f t="shared" si="6"/>
        <v>1</v>
      </c>
      <c r="M19" s="6">
        <f t="shared" si="2"/>
        <v>0</v>
      </c>
      <c r="N19" s="6">
        <f t="shared" si="3"/>
        <v>2</v>
      </c>
      <c r="O19" s="6" t="str">
        <f t="shared" si="4"/>
        <v>일반</v>
      </c>
      <c r="P19" s="7" t="str">
        <f>RawData!Q15</f>
        <v>-</v>
      </c>
    </row>
    <row r="20" spans="1:16" x14ac:dyDescent="0.3">
      <c r="A20" s="6" t="str">
        <f>RIGHT(RawData!B16,2)</f>
        <v>12</v>
      </c>
      <c r="B20" s="6" t="str">
        <f>RawData!C46</f>
        <v>서현로</v>
      </c>
      <c r="C20" s="6" t="str">
        <f>RawData!D16</f>
        <v>26-성남시-12</v>
      </c>
      <c r="D20" s="6" t="str">
        <f>RawData!E16</f>
        <v>양호</v>
      </c>
      <c r="E20" s="6" t="str">
        <f>RawData!F16</f>
        <v>거북등</v>
      </c>
      <c r="F20" s="6" t="str">
        <f>RawData!G16</f>
        <v>양호</v>
      </c>
      <c r="G20" s="6">
        <f>RawData!H16</f>
        <v>14.5</v>
      </c>
      <c r="H20" s="6" t="str">
        <f>RawData!I16</f>
        <v>-</v>
      </c>
      <c r="I20" s="6">
        <f t="shared" si="5"/>
        <v>0</v>
      </c>
      <c r="J20" s="6">
        <f t="shared" si="0"/>
        <v>3</v>
      </c>
      <c r="K20" s="6">
        <f t="shared" si="1"/>
        <v>0</v>
      </c>
      <c r="L20" s="6">
        <f t="shared" si="6"/>
        <v>1</v>
      </c>
      <c r="M20" s="6">
        <f t="shared" si="2"/>
        <v>0</v>
      </c>
      <c r="N20" s="6">
        <f t="shared" si="3"/>
        <v>4</v>
      </c>
      <c r="O20" s="6" t="str">
        <f t="shared" si="4"/>
        <v>일반</v>
      </c>
      <c r="P20" s="7" t="str">
        <f>RawData!Q16</f>
        <v>-</v>
      </c>
    </row>
    <row r="21" spans="1:16" x14ac:dyDescent="0.3">
      <c r="A21" s="6" t="str">
        <f>RIGHT(RawData!B17,2)</f>
        <v>13</v>
      </c>
      <c r="B21" s="6" t="str">
        <f>RawData!C47</f>
        <v>동판교역로</v>
      </c>
      <c r="C21" s="6" t="str">
        <f>RawData!D17</f>
        <v>26-성남시-13</v>
      </c>
      <c r="D21" s="6" t="str">
        <f>RawData!E17</f>
        <v>양호</v>
      </c>
      <c r="E21" s="6" t="str">
        <f>RawData!F17</f>
        <v>거북등</v>
      </c>
      <c r="F21" s="6" t="str">
        <f>RawData!G17</f>
        <v>양호</v>
      </c>
      <c r="G21" s="6">
        <f>RawData!H17</f>
        <v>14.5</v>
      </c>
      <c r="H21" s="6" t="str">
        <f>RawData!I17</f>
        <v>-</v>
      </c>
      <c r="I21" s="6">
        <f t="shared" si="5"/>
        <v>0</v>
      </c>
      <c r="J21" s="6">
        <f t="shared" si="0"/>
        <v>3</v>
      </c>
      <c r="K21" s="6">
        <f t="shared" si="1"/>
        <v>0</v>
      </c>
      <c r="L21" s="6">
        <f t="shared" si="6"/>
        <v>1</v>
      </c>
      <c r="M21" s="6">
        <f t="shared" si="2"/>
        <v>0</v>
      </c>
      <c r="N21" s="6">
        <f t="shared" si="3"/>
        <v>4</v>
      </c>
      <c r="O21" s="6" t="str">
        <f t="shared" si="4"/>
        <v>일반</v>
      </c>
      <c r="P21" s="7" t="str">
        <f>RawData!Q17</f>
        <v>-</v>
      </c>
    </row>
    <row r="22" spans="1:16" x14ac:dyDescent="0.3">
      <c r="A22" s="6" t="str">
        <f>RIGHT(RawData!B18,2)</f>
        <v>14</v>
      </c>
      <c r="B22" s="6" t="str">
        <f>RawData!C48</f>
        <v>판교역로</v>
      </c>
      <c r="C22" s="6" t="str">
        <f>RawData!D18</f>
        <v>26-성남시-14</v>
      </c>
      <c r="D22" s="6" t="str">
        <f>RawData!E18</f>
        <v>양호</v>
      </c>
      <c r="E22" s="6" t="str">
        <f>RawData!F18</f>
        <v>거북등</v>
      </c>
      <c r="F22" s="6" t="str">
        <f>RawData!G18</f>
        <v>양호</v>
      </c>
      <c r="G22" s="6">
        <f>RawData!H18</f>
        <v>14.5</v>
      </c>
      <c r="H22" s="6" t="str">
        <f>RawData!I18</f>
        <v>-</v>
      </c>
      <c r="I22" s="6">
        <f t="shared" si="5"/>
        <v>0</v>
      </c>
      <c r="J22" s="6">
        <f t="shared" si="0"/>
        <v>3</v>
      </c>
      <c r="K22" s="6">
        <f t="shared" si="1"/>
        <v>0</v>
      </c>
      <c r="L22" s="6">
        <f t="shared" si="6"/>
        <v>1</v>
      </c>
      <c r="M22" s="6">
        <f t="shared" si="2"/>
        <v>0</v>
      </c>
      <c r="N22" s="6">
        <f t="shared" si="3"/>
        <v>4</v>
      </c>
      <c r="O22" s="6" t="str">
        <f t="shared" si="4"/>
        <v>일반</v>
      </c>
      <c r="P22" s="7" t="str">
        <f>RawData!Q18</f>
        <v>-</v>
      </c>
    </row>
    <row r="23" spans="1:16" x14ac:dyDescent="0.3">
      <c r="A23" s="6" t="str">
        <f>RIGHT(RawData!B19,2)</f>
        <v>15</v>
      </c>
      <c r="B23" s="6" t="str">
        <f>RawData!C49</f>
        <v>판교역로</v>
      </c>
      <c r="C23" s="6" t="str">
        <f>RawData!D19</f>
        <v>26-성남시-15</v>
      </c>
      <c r="D23" s="6" t="str">
        <f>RawData!E19</f>
        <v>양호</v>
      </c>
      <c r="E23" s="6" t="str">
        <f>RawData!F19</f>
        <v>거북등</v>
      </c>
      <c r="F23" s="6" t="str">
        <f>RawData!G19</f>
        <v>양호</v>
      </c>
      <c r="G23" s="6">
        <f>RawData!H19</f>
        <v>14.5</v>
      </c>
      <c r="H23" s="6" t="str">
        <f>RawData!I19</f>
        <v>-</v>
      </c>
      <c r="I23" s="6">
        <f t="shared" si="5"/>
        <v>0</v>
      </c>
      <c r="J23" s="6">
        <f t="shared" si="0"/>
        <v>3</v>
      </c>
      <c r="K23" s="6">
        <f t="shared" si="1"/>
        <v>0</v>
      </c>
      <c r="L23" s="6">
        <f t="shared" si="6"/>
        <v>1</v>
      </c>
      <c r="M23" s="6">
        <f t="shared" si="2"/>
        <v>0</v>
      </c>
      <c r="N23" s="6">
        <f t="shared" si="3"/>
        <v>4</v>
      </c>
      <c r="O23" s="6" t="str">
        <f t="shared" si="4"/>
        <v>일반</v>
      </c>
      <c r="P23" s="7" t="str">
        <f>RawData!Q19</f>
        <v>-</v>
      </c>
    </row>
    <row r="24" spans="1:16" x14ac:dyDescent="0.3">
      <c r="A24" s="6" t="str">
        <f>RIGHT(RawData!B20,2)</f>
        <v>16</v>
      </c>
      <c r="B24" s="6" t="str">
        <f>RawData!C50</f>
        <v>판교역로</v>
      </c>
      <c r="C24" s="6" t="str">
        <f>RawData!D20</f>
        <v>26-성남시-16</v>
      </c>
      <c r="D24" s="6" t="str">
        <f>RawData!E20</f>
        <v>양호</v>
      </c>
      <c r="E24" s="6" t="str">
        <f>RawData!F20</f>
        <v>거북등</v>
      </c>
      <c r="F24" s="6" t="str">
        <f>RawData!G20</f>
        <v>양호</v>
      </c>
      <c r="G24" s="6">
        <f>RawData!H20</f>
        <v>14.5</v>
      </c>
      <c r="H24" s="6" t="str">
        <f>RawData!I20</f>
        <v>-</v>
      </c>
      <c r="I24" s="6">
        <f t="shared" si="5"/>
        <v>0</v>
      </c>
      <c r="J24" s="6">
        <f t="shared" si="0"/>
        <v>3</v>
      </c>
      <c r="K24" s="6">
        <f t="shared" si="1"/>
        <v>0</v>
      </c>
      <c r="L24" s="6">
        <f t="shared" si="6"/>
        <v>1</v>
      </c>
      <c r="M24" s="6">
        <f t="shared" si="2"/>
        <v>0</v>
      </c>
      <c r="N24" s="6">
        <f t="shared" si="3"/>
        <v>4</v>
      </c>
      <c r="O24" s="6" t="str">
        <f t="shared" si="4"/>
        <v>일반</v>
      </c>
      <c r="P24" s="7" t="str">
        <f>RawData!Q20</f>
        <v>-</v>
      </c>
    </row>
    <row r="25" spans="1:16" x14ac:dyDescent="0.3">
      <c r="A25" s="6" t="str">
        <f>RIGHT(RawData!B21,2)</f>
        <v>17</v>
      </c>
      <c r="B25" s="6" t="str">
        <f>RawData!C51</f>
        <v>판교역로</v>
      </c>
      <c r="C25" s="6" t="str">
        <f>RawData!D21</f>
        <v>26-성남시-17</v>
      </c>
      <c r="D25" s="6" t="str">
        <f>RawData!E21</f>
        <v>양호</v>
      </c>
      <c r="E25" s="6" t="str">
        <f>RawData!F21</f>
        <v>거북등</v>
      </c>
      <c r="F25" s="6" t="str">
        <f>RawData!G21</f>
        <v>양호</v>
      </c>
      <c r="G25" s="6">
        <f>RawData!H21</f>
        <v>14.5</v>
      </c>
      <c r="H25" s="6" t="str">
        <f>RawData!I21</f>
        <v>-</v>
      </c>
      <c r="I25" s="6">
        <f t="shared" si="5"/>
        <v>0</v>
      </c>
      <c r="J25" s="6">
        <f t="shared" si="0"/>
        <v>3</v>
      </c>
      <c r="K25" s="6">
        <f t="shared" si="1"/>
        <v>0</v>
      </c>
      <c r="L25" s="6">
        <f t="shared" si="6"/>
        <v>1</v>
      </c>
      <c r="M25" s="6">
        <f t="shared" si="2"/>
        <v>0</v>
      </c>
      <c r="N25" s="6">
        <f t="shared" si="3"/>
        <v>4</v>
      </c>
      <c r="O25" s="6" t="str">
        <f t="shared" si="4"/>
        <v>일반</v>
      </c>
      <c r="P25" s="7" t="str">
        <f>RawData!Q21</f>
        <v>-</v>
      </c>
    </row>
    <row r="26" spans="1:16" x14ac:dyDescent="0.3">
      <c r="A26" s="6" t="str">
        <f>RIGHT(RawData!B22,2)</f>
        <v>18</v>
      </c>
      <c r="B26" s="6" t="str">
        <f>RawData!C52</f>
        <v>분당수서로</v>
      </c>
      <c r="C26" s="6" t="str">
        <f>RawData!D22</f>
        <v>26-성남시-18</v>
      </c>
      <c r="D26" s="6" t="str">
        <f>RawData!E22</f>
        <v>양호</v>
      </c>
      <c r="E26" s="6" t="str">
        <f>RawData!F22</f>
        <v>거북등</v>
      </c>
      <c r="F26" s="6" t="str">
        <f>RawData!G22</f>
        <v>양호</v>
      </c>
      <c r="G26" s="6">
        <f>RawData!H22</f>
        <v>14.5</v>
      </c>
      <c r="H26" s="6" t="str">
        <f>RawData!I22</f>
        <v>-</v>
      </c>
      <c r="I26" s="6">
        <f t="shared" si="5"/>
        <v>0</v>
      </c>
      <c r="J26" s="6">
        <f t="shared" si="0"/>
        <v>3</v>
      </c>
      <c r="K26" s="6">
        <f t="shared" si="1"/>
        <v>0</v>
      </c>
      <c r="L26" s="6">
        <f t="shared" si="6"/>
        <v>1</v>
      </c>
      <c r="M26" s="6">
        <f t="shared" si="2"/>
        <v>0</v>
      </c>
      <c r="N26" s="6">
        <f t="shared" si="3"/>
        <v>4</v>
      </c>
      <c r="O26" s="6" t="str">
        <f t="shared" si="4"/>
        <v>일반</v>
      </c>
      <c r="P26" s="7" t="str">
        <f>RawData!Q22</f>
        <v>-</v>
      </c>
    </row>
    <row r="27" spans="1:16" x14ac:dyDescent="0.3">
      <c r="A27" s="6" t="str">
        <f>RIGHT(RawData!B23,2)</f>
        <v>19</v>
      </c>
      <c r="B27" s="6" t="str">
        <f>RawData!C53</f>
        <v>분당수서로</v>
      </c>
      <c r="C27" s="6" t="str">
        <f>RawData!D23</f>
        <v>26-성남시-19</v>
      </c>
      <c r="D27" s="6" t="str">
        <f>RawData!E23</f>
        <v>양호</v>
      </c>
      <c r="E27" s="6" t="str">
        <f>RawData!F23</f>
        <v>종균열</v>
      </c>
      <c r="F27" s="6" t="str">
        <f>RawData!G23</f>
        <v>양호</v>
      </c>
      <c r="G27" s="6">
        <f>RawData!H23</f>
        <v>14.5</v>
      </c>
      <c r="H27" s="6" t="str">
        <f>RawData!I23</f>
        <v>-</v>
      </c>
      <c r="I27" s="6">
        <f t="shared" si="5"/>
        <v>0</v>
      </c>
      <c r="J27" s="6">
        <f t="shared" si="0"/>
        <v>1</v>
      </c>
      <c r="K27" s="6">
        <f t="shared" si="1"/>
        <v>0</v>
      </c>
      <c r="L27" s="6">
        <f t="shared" si="6"/>
        <v>1</v>
      </c>
      <c r="M27" s="6">
        <f t="shared" si="2"/>
        <v>0</v>
      </c>
      <c r="N27" s="6">
        <f t="shared" si="3"/>
        <v>2</v>
      </c>
      <c r="O27" s="6" t="str">
        <f t="shared" si="4"/>
        <v>일반</v>
      </c>
      <c r="P27" s="7" t="str">
        <f>RawData!Q23</f>
        <v>-</v>
      </c>
    </row>
    <row r="28" spans="1:16" x14ac:dyDescent="0.3">
      <c r="A28" s="6" t="str">
        <f>RIGHT(RawData!B24,2)</f>
        <v>20</v>
      </c>
      <c r="B28" s="6" t="str">
        <f>RawData!C54</f>
        <v>성남대로</v>
      </c>
      <c r="C28" s="6" t="str">
        <f>RawData!D24</f>
        <v>26-성남시-20</v>
      </c>
      <c r="D28" s="6" t="str">
        <f>RawData!E24</f>
        <v>양호</v>
      </c>
      <c r="E28" s="6" t="str">
        <f>RawData!F24</f>
        <v>거북등</v>
      </c>
      <c r="F28" s="6" t="str">
        <f>RawData!G24</f>
        <v>양호</v>
      </c>
      <c r="G28" s="6">
        <f>RawData!H24</f>
        <v>14.5</v>
      </c>
      <c r="H28" s="6" t="str">
        <f>RawData!I24</f>
        <v>-</v>
      </c>
      <c r="I28" s="6">
        <f t="shared" si="5"/>
        <v>0</v>
      </c>
      <c r="J28" s="6">
        <f t="shared" si="0"/>
        <v>3</v>
      </c>
      <c r="K28" s="6">
        <f t="shared" si="1"/>
        <v>0</v>
      </c>
      <c r="L28" s="6">
        <f t="shared" si="6"/>
        <v>1</v>
      </c>
      <c r="M28" s="6">
        <f t="shared" si="2"/>
        <v>0</v>
      </c>
      <c r="N28" s="6">
        <f t="shared" si="3"/>
        <v>4</v>
      </c>
      <c r="O28" s="6" t="str">
        <f t="shared" si="4"/>
        <v>일반</v>
      </c>
      <c r="P28" s="7" t="str">
        <f>RawData!Q24</f>
        <v>-</v>
      </c>
    </row>
    <row r="29" spans="1:16" x14ac:dyDescent="0.3">
      <c r="A29" s="6" t="str">
        <f>RIGHT(RawData!B25,2)</f>
        <v>21</v>
      </c>
      <c r="B29" s="6" t="str">
        <f>RawData!C55</f>
        <v>성남대로</v>
      </c>
      <c r="C29" s="6" t="str">
        <f>RawData!D25</f>
        <v>26-성남시-21</v>
      </c>
      <c r="D29" s="6" t="str">
        <f>RawData!E25</f>
        <v>양호</v>
      </c>
      <c r="E29" s="6" t="str">
        <f>RawData!F25</f>
        <v>-</v>
      </c>
      <c r="F29" s="6" t="str">
        <f>RawData!G25</f>
        <v>양호</v>
      </c>
      <c r="G29" s="6">
        <f>RawData!H25</f>
        <v>14.5</v>
      </c>
      <c r="H29" s="6" t="str">
        <f>RawData!I25</f>
        <v>-</v>
      </c>
      <c r="I29" s="6">
        <f t="shared" si="5"/>
        <v>0</v>
      </c>
      <c r="J29" s="6">
        <f t="shared" si="0"/>
        <v>0</v>
      </c>
      <c r="K29" s="6">
        <f t="shared" si="1"/>
        <v>0</v>
      </c>
      <c r="L29" s="6">
        <f t="shared" si="6"/>
        <v>1</v>
      </c>
      <c r="M29" s="6">
        <f t="shared" si="2"/>
        <v>0</v>
      </c>
      <c r="N29" s="6">
        <f t="shared" si="3"/>
        <v>1</v>
      </c>
      <c r="O29" s="6" t="str">
        <f t="shared" si="4"/>
        <v>일반</v>
      </c>
      <c r="P29" s="7" t="str">
        <f>RawData!Q25</f>
        <v>5cm이하 침하</v>
      </c>
    </row>
    <row r="30" spans="1:16" x14ac:dyDescent="0.3">
      <c r="A30" s="6" t="str">
        <f>RIGHT(RawData!B26,2)</f>
        <v>22</v>
      </c>
      <c r="B30" s="6" t="str">
        <f>RawData!C56</f>
        <v>성남대로</v>
      </c>
      <c r="C30" s="6" t="str">
        <f>RawData!D26</f>
        <v>26-성남시-22</v>
      </c>
      <c r="D30" s="6" t="str">
        <f>RawData!E26</f>
        <v>양호</v>
      </c>
      <c r="E30" s="6" t="str">
        <f>RawData!F26</f>
        <v>거북등</v>
      </c>
      <c r="F30" s="6" t="str">
        <f>RawData!G26</f>
        <v>양호</v>
      </c>
      <c r="G30" s="6">
        <f>RawData!H26</f>
        <v>14.5</v>
      </c>
      <c r="H30" s="6" t="str">
        <f>RawData!I26</f>
        <v>-</v>
      </c>
      <c r="I30" s="6">
        <f t="shared" si="5"/>
        <v>0</v>
      </c>
      <c r="J30" s="6">
        <f t="shared" si="0"/>
        <v>3</v>
      </c>
      <c r="K30" s="6">
        <f t="shared" si="1"/>
        <v>0</v>
      </c>
      <c r="L30" s="6">
        <f t="shared" si="6"/>
        <v>1</v>
      </c>
      <c r="M30" s="6">
        <f t="shared" si="2"/>
        <v>0</v>
      </c>
      <c r="N30" s="6">
        <f t="shared" si="3"/>
        <v>4</v>
      </c>
      <c r="O30" s="6" t="str">
        <f t="shared" si="4"/>
        <v>일반</v>
      </c>
      <c r="P30" s="7" t="str">
        <f>RawData!Q26</f>
        <v>-</v>
      </c>
    </row>
    <row r="31" spans="1:16" x14ac:dyDescent="0.3">
      <c r="A31" s="6" t="str">
        <f>RIGHT(RawData!B27,2)</f>
        <v>23</v>
      </c>
      <c r="B31" s="6" t="str">
        <f>RawData!C57</f>
        <v>성남대로</v>
      </c>
      <c r="C31" s="6" t="str">
        <f>RawData!D27</f>
        <v>26-성남시-23</v>
      </c>
      <c r="D31" s="6" t="str">
        <f>RawData!E27</f>
        <v>양호</v>
      </c>
      <c r="E31" s="6" t="str">
        <f>RawData!F27</f>
        <v>거북등</v>
      </c>
      <c r="F31" s="6" t="str">
        <f>RawData!G27</f>
        <v>양호</v>
      </c>
      <c r="G31" s="6">
        <f>RawData!H27</f>
        <v>14.5</v>
      </c>
      <c r="H31" s="6" t="str">
        <f>RawData!I27</f>
        <v>-</v>
      </c>
      <c r="I31" s="6">
        <f t="shared" si="5"/>
        <v>0</v>
      </c>
      <c r="J31" s="6">
        <f t="shared" si="0"/>
        <v>3</v>
      </c>
      <c r="K31" s="6">
        <f t="shared" si="1"/>
        <v>0</v>
      </c>
      <c r="L31" s="6">
        <f t="shared" si="6"/>
        <v>1</v>
      </c>
      <c r="M31" s="6">
        <f t="shared" si="2"/>
        <v>0</v>
      </c>
      <c r="N31" s="6">
        <f t="shared" si="3"/>
        <v>4</v>
      </c>
      <c r="O31" s="6" t="str">
        <f t="shared" si="4"/>
        <v>일반</v>
      </c>
      <c r="P31" s="7" t="str">
        <f>RawData!Q27</f>
        <v>-</v>
      </c>
    </row>
    <row r="32" spans="1:16" x14ac:dyDescent="0.3">
      <c r="A32" s="6" t="str">
        <f>RIGHT(RawData!B28,2)</f>
        <v>24</v>
      </c>
      <c r="B32" s="6" t="str">
        <f>RawData!C58</f>
        <v>성남대로</v>
      </c>
      <c r="C32" s="6" t="str">
        <f>RawData!D28</f>
        <v>26-성남시-24</v>
      </c>
      <c r="D32" s="6" t="str">
        <f>RawData!E28</f>
        <v>양호</v>
      </c>
      <c r="E32" s="6" t="str">
        <f>RawData!F28</f>
        <v>종,횡균열</v>
      </c>
      <c r="F32" s="6" t="str">
        <f>RawData!G28</f>
        <v>양호</v>
      </c>
      <c r="G32" s="6">
        <f>RawData!H28</f>
        <v>14.5</v>
      </c>
      <c r="H32" s="6" t="str">
        <f>RawData!I28</f>
        <v>-</v>
      </c>
      <c r="I32" s="6">
        <f t="shared" si="5"/>
        <v>0</v>
      </c>
      <c r="J32" s="6">
        <f t="shared" si="0"/>
        <v>1</v>
      </c>
      <c r="K32" s="6">
        <f t="shared" si="1"/>
        <v>0</v>
      </c>
      <c r="L32" s="6">
        <f t="shared" si="6"/>
        <v>1</v>
      </c>
      <c r="M32" s="6">
        <f t="shared" si="2"/>
        <v>0</v>
      </c>
      <c r="N32" s="6">
        <f t="shared" si="3"/>
        <v>2</v>
      </c>
      <c r="O32" s="6" t="str">
        <f t="shared" si="4"/>
        <v>일반</v>
      </c>
      <c r="P32" s="7" t="str">
        <f>RawData!Q28</f>
        <v>-</v>
      </c>
    </row>
    <row r="33" spans="1:16" x14ac:dyDescent="0.3">
      <c r="A33" s="6" t="str">
        <f>RIGHT(RawData!B29,2)</f>
        <v>25</v>
      </c>
      <c r="B33" s="6" t="str">
        <f>RawData!C59</f>
        <v>성남대로</v>
      </c>
      <c r="C33" s="6" t="str">
        <f>RawData!D29</f>
        <v>26-성남시-25</v>
      </c>
      <c r="D33" s="6" t="str">
        <f>RawData!E29</f>
        <v>양호</v>
      </c>
      <c r="E33" s="6" t="str">
        <f>RawData!F29</f>
        <v>거북등</v>
      </c>
      <c r="F33" s="6" t="str">
        <f>RawData!G29</f>
        <v>양호</v>
      </c>
      <c r="G33" s="6">
        <f>RawData!H29</f>
        <v>14.5</v>
      </c>
      <c r="H33" s="6" t="str">
        <f>RawData!I29</f>
        <v>-</v>
      </c>
      <c r="I33" s="6">
        <f t="shared" si="5"/>
        <v>0</v>
      </c>
      <c r="J33" s="6">
        <f t="shared" si="0"/>
        <v>3</v>
      </c>
      <c r="K33" s="6">
        <f t="shared" si="1"/>
        <v>0</v>
      </c>
      <c r="L33" s="6">
        <f t="shared" si="6"/>
        <v>1</v>
      </c>
      <c r="M33" s="6">
        <f t="shared" si="2"/>
        <v>0</v>
      </c>
      <c r="N33" s="6">
        <f t="shared" si="3"/>
        <v>4</v>
      </c>
      <c r="O33" s="6" t="str">
        <f t="shared" si="4"/>
        <v>일반</v>
      </c>
      <c r="P33" s="7" t="str">
        <f>RawData!Q29</f>
        <v>-</v>
      </c>
    </row>
    <row r="34" spans="1:16" x14ac:dyDescent="0.3">
      <c r="A34" s="6" t="str">
        <f>RIGHT(RawData!B30,2)</f>
        <v>26</v>
      </c>
      <c r="B34" s="6" t="str">
        <f>RawData!C60</f>
        <v>성남대로</v>
      </c>
      <c r="C34" s="6" t="str">
        <f>RawData!D30</f>
        <v>26-성남시-26</v>
      </c>
      <c r="D34" s="6" t="str">
        <f>RawData!E30</f>
        <v>양호</v>
      </c>
      <c r="E34" s="6" t="str">
        <f>RawData!F30</f>
        <v>거북등</v>
      </c>
      <c r="F34" s="6" t="str">
        <f>RawData!G30</f>
        <v>양호</v>
      </c>
      <c r="G34" s="6">
        <f>RawData!H30</f>
        <v>14.5</v>
      </c>
      <c r="H34" s="6" t="str">
        <f>RawData!I30</f>
        <v>-</v>
      </c>
      <c r="I34" s="6">
        <f t="shared" si="5"/>
        <v>0</v>
      </c>
      <c r="J34" s="6">
        <f t="shared" si="0"/>
        <v>3</v>
      </c>
      <c r="K34" s="6">
        <f t="shared" si="1"/>
        <v>0</v>
      </c>
      <c r="L34" s="6">
        <f t="shared" si="6"/>
        <v>1</v>
      </c>
      <c r="M34" s="6">
        <f t="shared" si="2"/>
        <v>0</v>
      </c>
      <c r="N34" s="6">
        <f t="shared" si="3"/>
        <v>4</v>
      </c>
      <c r="O34" s="6" t="str">
        <f t="shared" si="4"/>
        <v>일반</v>
      </c>
      <c r="P34" s="7" t="str">
        <f>RawData!Q30</f>
        <v>-</v>
      </c>
    </row>
    <row r="35" spans="1:16" x14ac:dyDescent="0.3">
      <c r="A35" s="6" t="str">
        <f>RIGHT(RawData!B31,2)</f>
        <v>27</v>
      </c>
      <c r="B35" s="6" t="str">
        <f>RawData!C61</f>
        <v>성남대로</v>
      </c>
      <c r="C35" s="6" t="str">
        <f>RawData!D31</f>
        <v>26-성남시-27</v>
      </c>
      <c r="D35" s="6" t="str">
        <f>RawData!E31</f>
        <v>양호</v>
      </c>
      <c r="E35" s="6" t="str">
        <f>RawData!F31</f>
        <v>횡균열</v>
      </c>
      <c r="F35" s="6" t="str">
        <f>RawData!G31</f>
        <v>양호</v>
      </c>
      <c r="G35" s="6">
        <f>RawData!H31</f>
        <v>14.5</v>
      </c>
      <c r="H35" s="6" t="str">
        <f>RawData!I31</f>
        <v>-</v>
      </c>
      <c r="I35" s="6">
        <f t="shared" si="5"/>
        <v>0</v>
      </c>
      <c r="J35" s="6">
        <f t="shared" si="0"/>
        <v>1</v>
      </c>
      <c r="K35" s="6">
        <f t="shared" si="1"/>
        <v>0</v>
      </c>
      <c r="L35" s="6">
        <f t="shared" si="6"/>
        <v>1</v>
      </c>
      <c r="M35" s="6">
        <f t="shared" si="2"/>
        <v>0</v>
      </c>
      <c r="N35" s="6">
        <f t="shared" si="3"/>
        <v>2</v>
      </c>
      <c r="O35" s="6" t="str">
        <f t="shared" si="4"/>
        <v>일반</v>
      </c>
      <c r="P35" s="7" t="str">
        <f>RawData!Q31</f>
        <v>-</v>
      </c>
    </row>
    <row r="36" spans="1:16" x14ac:dyDescent="0.3">
      <c r="A36" s="6" t="str">
        <f>RIGHT(RawData!B32,2)</f>
        <v>28</v>
      </c>
      <c r="B36" s="6" t="str">
        <f>RawData!C62</f>
        <v>성남대로</v>
      </c>
      <c r="C36" s="6" t="str">
        <f>RawData!D32</f>
        <v>26-성남시-28</v>
      </c>
      <c r="D36" s="6" t="str">
        <f>RawData!E32</f>
        <v>양호</v>
      </c>
      <c r="E36" s="6" t="str">
        <f>RawData!F32</f>
        <v>종,횡균열</v>
      </c>
      <c r="F36" s="6" t="str">
        <f>RawData!G32</f>
        <v>양호</v>
      </c>
      <c r="G36" s="6">
        <f>RawData!H32</f>
        <v>14.5</v>
      </c>
      <c r="H36" s="6" t="str">
        <f>RawData!I32</f>
        <v>-</v>
      </c>
      <c r="I36" s="6">
        <f t="shared" si="5"/>
        <v>0</v>
      </c>
      <c r="J36" s="6">
        <f t="shared" si="0"/>
        <v>1</v>
      </c>
      <c r="K36" s="6">
        <f t="shared" si="1"/>
        <v>0</v>
      </c>
      <c r="L36" s="6">
        <f t="shared" si="6"/>
        <v>1</v>
      </c>
      <c r="M36" s="6">
        <f t="shared" si="2"/>
        <v>0</v>
      </c>
      <c r="N36" s="6">
        <f t="shared" si="3"/>
        <v>2</v>
      </c>
      <c r="O36" s="6" t="str">
        <f t="shared" si="4"/>
        <v>일반</v>
      </c>
      <c r="P36" s="7" t="str">
        <f>RawData!Q32</f>
        <v>-</v>
      </c>
    </row>
    <row r="37" spans="1:16" x14ac:dyDescent="0.3">
      <c r="A37" s="6" t="str">
        <f>RIGHT(RawData!B33,2)</f>
        <v>29</v>
      </c>
      <c r="B37" s="6" t="str">
        <f>RawData!C63</f>
        <v>성남대로</v>
      </c>
      <c r="C37" s="6" t="str">
        <f>RawData!D33</f>
        <v>26-성남시-29</v>
      </c>
      <c r="D37" s="6" t="str">
        <f>RawData!E33</f>
        <v>양호</v>
      </c>
      <c r="E37" s="6" t="str">
        <f>RawData!F33</f>
        <v>종균열</v>
      </c>
      <c r="F37" s="6" t="str">
        <f>RawData!G33</f>
        <v>양호</v>
      </c>
      <c r="G37" s="6">
        <f>RawData!H33</f>
        <v>14.5</v>
      </c>
      <c r="H37" s="6" t="str">
        <f>RawData!I33</f>
        <v>-</v>
      </c>
      <c r="I37" s="6">
        <f t="shared" si="5"/>
        <v>0</v>
      </c>
      <c r="J37" s="6">
        <f t="shared" si="0"/>
        <v>1</v>
      </c>
      <c r="K37" s="6">
        <f t="shared" si="1"/>
        <v>0</v>
      </c>
      <c r="L37" s="6">
        <f t="shared" si="6"/>
        <v>1</v>
      </c>
      <c r="M37" s="6">
        <f t="shared" si="2"/>
        <v>0</v>
      </c>
      <c r="N37" s="6">
        <f t="shared" si="3"/>
        <v>2</v>
      </c>
      <c r="O37" s="6" t="str">
        <f t="shared" si="4"/>
        <v>일반</v>
      </c>
      <c r="P37" s="7" t="str">
        <f>RawData!Q33</f>
        <v>-</v>
      </c>
    </row>
    <row r="38" spans="1:16" x14ac:dyDescent="0.3">
      <c r="A38" s="6" t="str">
        <f>RIGHT(RawData!B34,2)</f>
        <v>30</v>
      </c>
      <c r="B38" s="6" t="str">
        <f>RawData!C64</f>
        <v>성남대로</v>
      </c>
      <c r="C38" s="6" t="str">
        <f>RawData!D34</f>
        <v>26-성남시-30</v>
      </c>
      <c r="D38" s="6" t="str">
        <f>RawData!E34</f>
        <v>양호</v>
      </c>
      <c r="E38" s="6" t="str">
        <f>RawData!F34</f>
        <v>거북등</v>
      </c>
      <c r="F38" s="6" t="str">
        <f>RawData!G34</f>
        <v>양호</v>
      </c>
      <c r="G38" s="6">
        <f>RawData!H34</f>
        <v>14.5</v>
      </c>
      <c r="H38" s="6" t="str">
        <f>RawData!I34</f>
        <v>-</v>
      </c>
      <c r="I38" s="6">
        <f t="shared" si="5"/>
        <v>0</v>
      </c>
      <c r="J38" s="6">
        <f t="shared" si="0"/>
        <v>3</v>
      </c>
      <c r="K38" s="6">
        <f t="shared" si="1"/>
        <v>0</v>
      </c>
      <c r="L38" s="6">
        <f t="shared" si="6"/>
        <v>1</v>
      </c>
      <c r="M38" s="6">
        <f t="shared" si="2"/>
        <v>0</v>
      </c>
      <c r="N38" s="6">
        <f t="shared" si="3"/>
        <v>4</v>
      </c>
      <c r="O38" s="6" t="str">
        <f t="shared" si="4"/>
        <v>일반</v>
      </c>
      <c r="P38" s="7" t="str">
        <f>RawData!Q34</f>
        <v>-</v>
      </c>
    </row>
  </sheetData>
  <mergeCells count="20">
    <mergeCell ref="O7:O8"/>
    <mergeCell ref="P7:P8"/>
    <mergeCell ref="A7:A8"/>
    <mergeCell ref="B7:B8"/>
    <mergeCell ref="C7:C8"/>
    <mergeCell ref="D7:H7"/>
    <mergeCell ref="I7:M7"/>
    <mergeCell ref="N7:N8"/>
    <mergeCell ref="M5:P5"/>
    <mergeCell ref="A4:B4"/>
    <mergeCell ref="C4:D4"/>
    <mergeCell ref="E4:F4"/>
    <mergeCell ref="G4:I4"/>
    <mergeCell ref="J4:L4"/>
    <mergeCell ref="M4:P4"/>
    <mergeCell ref="A5:B5"/>
    <mergeCell ref="C5:D5"/>
    <mergeCell ref="E5:F5"/>
    <mergeCell ref="G5:I5"/>
    <mergeCell ref="J5:L5"/>
  </mergeCells>
  <phoneticPr fontId="2" type="noConversion"/>
  <pageMargins left="0.7" right="0.7" top="0.75" bottom="0.75" header="0.3" footer="0.3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RawData</vt:lpstr>
      <vt:lpstr>V2</vt:lpstr>
      <vt:lpstr>'V2'!Print_Area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2026-06-12T02:56:19Z</dcterms:modified>
</cp:coreProperties>
</file>