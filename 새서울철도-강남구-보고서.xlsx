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B604A600-6D74-448A-A411-DECDE7DDAE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definedNames>
    <definedName name="_xlnm.Print_Area" localSheetId="1">'V2'!$A$1:$P$32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2" i="2" l="1"/>
  <c r="H32" i="2"/>
  <c r="M32" i="2" s="1"/>
  <c r="G32" i="2"/>
  <c r="L32" i="2" s="1"/>
  <c r="F32" i="2"/>
  <c r="K32" i="2" s="1"/>
  <c r="E32" i="2"/>
  <c r="J32" i="2" s="1"/>
  <c r="D32" i="2"/>
  <c r="I32" i="2" s="1"/>
  <c r="C32" i="2"/>
  <c r="B32" i="2"/>
  <c r="A32" i="2"/>
  <c r="P31" i="2"/>
  <c r="H31" i="2"/>
  <c r="M31" i="2" s="1"/>
  <c r="G31" i="2"/>
  <c r="L31" i="2" s="1"/>
  <c r="F31" i="2"/>
  <c r="K31" i="2" s="1"/>
  <c r="E31" i="2"/>
  <c r="J31" i="2" s="1"/>
  <c r="D31" i="2"/>
  <c r="I31" i="2" s="1"/>
  <c r="C31" i="2"/>
  <c r="B31" i="2"/>
  <c r="A31" i="2"/>
  <c r="P30" i="2"/>
  <c r="H30" i="2"/>
  <c r="M30" i="2" s="1"/>
  <c r="G30" i="2"/>
  <c r="L30" i="2" s="1"/>
  <c r="F30" i="2"/>
  <c r="K30" i="2" s="1"/>
  <c r="E30" i="2"/>
  <c r="J30" i="2" s="1"/>
  <c r="D30" i="2"/>
  <c r="I30" i="2" s="1"/>
  <c r="C30" i="2"/>
  <c r="B30" i="2"/>
  <c r="A30" i="2"/>
  <c r="P29" i="2"/>
  <c r="H29" i="2"/>
  <c r="M29" i="2" s="1"/>
  <c r="G29" i="2"/>
  <c r="L29" i="2" s="1"/>
  <c r="F29" i="2"/>
  <c r="K29" i="2" s="1"/>
  <c r="E29" i="2"/>
  <c r="J29" i="2" s="1"/>
  <c r="D29" i="2"/>
  <c r="I29" i="2" s="1"/>
  <c r="C29" i="2"/>
  <c r="B29" i="2"/>
  <c r="A29" i="2"/>
  <c r="P28" i="2"/>
  <c r="H28" i="2"/>
  <c r="M28" i="2" s="1"/>
  <c r="G28" i="2"/>
  <c r="L28" i="2" s="1"/>
  <c r="F28" i="2"/>
  <c r="K28" i="2" s="1"/>
  <c r="E28" i="2"/>
  <c r="J28" i="2" s="1"/>
  <c r="D28" i="2"/>
  <c r="I28" i="2" s="1"/>
  <c r="C28" i="2"/>
  <c r="B28" i="2"/>
  <c r="A28" i="2"/>
  <c r="P27" i="2"/>
  <c r="H27" i="2"/>
  <c r="M27" i="2" s="1"/>
  <c r="G27" i="2"/>
  <c r="L27" i="2" s="1"/>
  <c r="F27" i="2"/>
  <c r="K27" i="2" s="1"/>
  <c r="E27" i="2"/>
  <c r="J27" i="2" s="1"/>
  <c r="D27" i="2"/>
  <c r="I27" i="2" s="1"/>
  <c r="C27" i="2"/>
  <c r="B27" i="2"/>
  <c r="A27" i="2"/>
  <c r="P26" i="2"/>
  <c r="H26" i="2"/>
  <c r="M26" i="2" s="1"/>
  <c r="G26" i="2"/>
  <c r="L26" i="2" s="1"/>
  <c r="F26" i="2"/>
  <c r="K26" i="2" s="1"/>
  <c r="E26" i="2"/>
  <c r="J26" i="2" s="1"/>
  <c r="D26" i="2"/>
  <c r="I26" i="2" s="1"/>
  <c r="C26" i="2"/>
  <c r="B26" i="2"/>
  <c r="A26" i="2"/>
  <c r="P25" i="2"/>
  <c r="H25" i="2"/>
  <c r="M25" i="2" s="1"/>
  <c r="G25" i="2"/>
  <c r="L25" i="2" s="1"/>
  <c r="F25" i="2"/>
  <c r="K25" i="2" s="1"/>
  <c r="E25" i="2"/>
  <c r="J25" i="2" s="1"/>
  <c r="D25" i="2"/>
  <c r="I25" i="2" s="1"/>
  <c r="C25" i="2"/>
  <c r="B25" i="2"/>
  <c r="A25" i="2"/>
  <c r="P24" i="2"/>
  <c r="H24" i="2"/>
  <c r="M24" i="2" s="1"/>
  <c r="G24" i="2"/>
  <c r="L24" i="2" s="1"/>
  <c r="F24" i="2"/>
  <c r="K24" i="2" s="1"/>
  <c r="E24" i="2"/>
  <c r="J24" i="2" s="1"/>
  <c r="D24" i="2"/>
  <c r="I24" i="2" s="1"/>
  <c r="C24" i="2"/>
  <c r="B24" i="2"/>
  <c r="A24" i="2"/>
  <c r="P23" i="2"/>
  <c r="H23" i="2"/>
  <c r="M23" i="2" s="1"/>
  <c r="G23" i="2"/>
  <c r="L23" i="2" s="1"/>
  <c r="F23" i="2"/>
  <c r="K23" i="2" s="1"/>
  <c r="E23" i="2"/>
  <c r="J23" i="2" s="1"/>
  <c r="D23" i="2"/>
  <c r="I23" i="2" s="1"/>
  <c r="C23" i="2"/>
  <c r="B23" i="2"/>
  <c r="A23" i="2"/>
  <c r="P22" i="2"/>
  <c r="H22" i="2"/>
  <c r="M22" i="2" s="1"/>
  <c r="G22" i="2"/>
  <c r="L22" i="2" s="1"/>
  <c r="F22" i="2"/>
  <c r="K22" i="2" s="1"/>
  <c r="E22" i="2"/>
  <c r="J22" i="2" s="1"/>
  <c r="D22" i="2"/>
  <c r="I22" i="2" s="1"/>
  <c r="C22" i="2"/>
  <c r="B22" i="2"/>
  <c r="A22" i="2"/>
  <c r="P21" i="2"/>
  <c r="H21" i="2"/>
  <c r="M21" i="2" s="1"/>
  <c r="G21" i="2"/>
  <c r="L21" i="2" s="1"/>
  <c r="F21" i="2"/>
  <c r="K21" i="2" s="1"/>
  <c r="E21" i="2"/>
  <c r="J21" i="2" s="1"/>
  <c r="D21" i="2"/>
  <c r="I21" i="2" s="1"/>
  <c r="C21" i="2"/>
  <c r="B21" i="2"/>
  <c r="A21" i="2"/>
  <c r="P20" i="2"/>
  <c r="H20" i="2"/>
  <c r="M20" i="2" s="1"/>
  <c r="G20" i="2"/>
  <c r="L20" i="2" s="1"/>
  <c r="F20" i="2"/>
  <c r="K20" i="2" s="1"/>
  <c r="E20" i="2"/>
  <c r="J20" i="2" s="1"/>
  <c r="D20" i="2"/>
  <c r="I20" i="2" s="1"/>
  <c r="C20" i="2"/>
  <c r="B20" i="2"/>
  <c r="A20" i="2"/>
  <c r="P19" i="2"/>
  <c r="H19" i="2"/>
  <c r="M19" i="2" s="1"/>
  <c r="G19" i="2"/>
  <c r="L19" i="2" s="1"/>
  <c r="F19" i="2"/>
  <c r="K19" i="2" s="1"/>
  <c r="E19" i="2"/>
  <c r="J19" i="2" s="1"/>
  <c r="D19" i="2"/>
  <c r="I19" i="2" s="1"/>
  <c r="C19" i="2"/>
  <c r="B19" i="2"/>
  <c r="A19" i="2"/>
  <c r="P18" i="2"/>
  <c r="H18" i="2"/>
  <c r="M18" i="2" s="1"/>
  <c r="G18" i="2"/>
  <c r="L18" i="2" s="1"/>
  <c r="F18" i="2"/>
  <c r="K18" i="2" s="1"/>
  <c r="E18" i="2"/>
  <c r="J18" i="2" s="1"/>
  <c r="D18" i="2"/>
  <c r="I18" i="2" s="1"/>
  <c r="C18" i="2"/>
  <c r="B18" i="2"/>
  <c r="A18" i="2"/>
  <c r="P17" i="2"/>
  <c r="H17" i="2"/>
  <c r="M17" i="2" s="1"/>
  <c r="G17" i="2"/>
  <c r="L17" i="2" s="1"/>
  <c r="F17" i="2"/>
  <c r="K17" i="2" s="1"/>
  <c r="E17" i="2"/>
  <c r="J17" i="2" s="1"/>
  <c r="D17" i="2"/>
  <c r="I17" i="2" s="1"/>
  <c r="C17" i="2"/>
  <c r="B17" i="2"/>
  <c r="A17" i="2"/>
  <c r="P16" i="2"/>
  <c r="H16" i="2"/>
  <c r="M16" i="2" s="1"/>
  <c r="G16" i="2"/>
  <c r="L16" i="2" s="1"/>
  <c r="F16" i="2"/>
  <c r="K16" i="2" s="1"/>
  <c r="E16" i="2"/>
  <c r="J16" i="2" s="1"/>
  <c r="D16" i="2"/>
  <c r="I16" i="2" s="1"/>
  <c r="C16" i="2"/>
  <c r="B16" i="2"/>
  <c r="A16" i="2"/>
  <c r="P15" i="2"/>
  <c r="H15" i="2"/>
  <c r="M15" i="2" s="1"/>
  <c r="G15" i="2"/>
  <c r="L15" i="2" s="1"/>
  <c r="F15" i="2"/>
  <c r="K15" i="2" s="1"/>
  <c r="E15" i="2"/>
  <c r="J15" i="2" s="1"/>
  <c r="D15" i="2"/>
  <c r="I15" i="2" s="1"/>
  <c r="C15" i="2"/>
  <c r="B15" i="2"/>
  <c r="A15" i="2"/>
  <c r="P14" i="2"/>
  <c r="H14" i="2"/>
  <c r="M14" i="2" s="1"/>
  <c r="G14" i="2"/>
  <c r="L14" i="2" s="1"/>
  <c r="F14" i="2"/>
  <c r="K14" i="2" s="1"/>
  <c r="E14" i="2"/>
  <c r="J14" i="2" s="1"/>
  <c r="D14" i="2"/>
  <c r="I14" i="2" s="1"/>
  <c r="C14" i="2"/>
  <c r="B14" i="2"/>
  <c r="A14" i="2"/>
  <c r="P13" i="2"/>
  <c r="H13" i="2"/>
  <c r="M13" i="2" s="1"/>
  <c r="G13" i="2"/>
  <c r="L13" i="2" s="1"/>
  <c r="F13" i="2"/>
  <c r="K13" i="2" s="1"/>
  <c r="E13" i="2"/>
  <c r="J13" i="2" s="1"/>
  <c r="D13" i="2"/>
  <c r="I13" i="2" s="1"/>
  <c r="C13" i="2"/>
  <c r="B13" i="2"/>
  <c r="A13" i="2"/>
  <c r="P12" i="2"/>
  <c r="H12" i="2"/>
  <c r="M12" i="2" s="1"/>
  <c r="G12" i="2"/>
  <c r="L12" i="2" s="1"/>
  <c r="F12" i="2"/>
  <c r="K12" i="2" s="1"/>
  <c r="E12" i="2"/>
  <c r="J12" i="2" s="1"/>
  <c r="D12" i="2"/>
  <c r="C12" i="2"/>
  <c r="B12" i="2"/>
  <c r="A12" i="2"/>
  <c r="P11" i="2"/>
  <c r="H11" i="2"/>
  <c r="M11" i="2" s="1"/>
  <c r="G11" i="2"/>
  <c r="L11" i="2" s="1"/>
  <c r="F11" i="2"/>
  <c r="K11" i="2" s="1"/>
  <c r="E11" i="2"/>
  <c r="J11" i="2" s="1"/>
  <c r="D11" i="2"/>
  <c r="I11" i="2" s="1"/>
  <c r="C11" i="2"/>
  <c r="B11" i="2"/>
  <c r="A11" i="2"/>
  <c r="P10" i="2"/>
  <c r="H10" i="2"/>
  <c r="M10" i="2" s="1"/>
  <c r="G10" i="2"/>
  <c r="L10" i="2" s="1"/>
  <c r="F10" i="2"/>
  <c r="K10" i="2" s="1"/>
  <c r="E10" i="2"/>
  <c r="J10" i="2" s="1"/>
  <c r="D10" i="2"/>
  <c r="I10" i="2" s="1"/>
  <c r="C10" i="2"/>
  <c r="B10" i="2"/>
  <c r="A10" i="2"/>
  <c r="P9" i="2"/>
  <c r="H9" i="2"/>
  <c r="M9" i="2" s="1"/>
  <c r="G9" i="2"/>
  <c r="L9" i="2" s="1"/>
  <c r="F9" i="2"/>
  <c r="K9" i="2" s="1"/>
  <c r="E9" i="2"/>
  <c r="J9" i="2" s="1"/>
  <c r="D9" i="2"/>
  <c r="I9" i="2" s="1"/>
  <c r="C9" i="2"/>
  <c r="B9" i="2"/>
  <c r="A9" i="2"/>
  <c r="J5" i="2"/>
  <c r="C5" i="2"/>
  <c r="I12" i="2"/>
  <c r="N10" i="2" l="1"/>
  <c r="O10" i="2" s="1"/>
  <c r="N18" i="2"/>
  <c r="O18" i="2" s="1"/>
  <c r="N30" i="2"/>
  <c r="O30" i="2" s="1"/>
  <c r="N25" i="2"/>
  <c r="O25" i="2" s="1"/>
  <c r="N13" i="2"/>
  <c r="O13" i="2" s="1"/>
  <c r="N22" i="2"/>
  <c r="O22" i="2" s="1"/>
  <c r="N16" i="2"/>
  <c r="O16" i="2" s="1"/>
  <c r="N9" i="2"/>
  <c r="O9" i="2" s="1"/>
  <c r="N21" i="2"/>
  <c r="O21" i="2" s="1"/>
  <c r="N23" i="2"/>
  <c r="O23" i="2" s="1"/>
  <c r="N28" i="2"/>
  <c r="O28" i="2" s="1"/>
  <c r="N15" i="2"/>
  <c r="O15" i="2" s="1"/>
  <c r="N31" i="2"/>
  <c r="O31" i="2" s="1"/>
  <c r="N12" i="2"/>
  <c r="O12" i="2" s="1"/>
  <c r="N14" i="2"/>
  <c r="O14" i="2" s="1"/>
  <c r="N27" i="2"/>
  <c r="O27" i="2" s="1"/>
  <c r="N11" i="2"/>
  <c r="O11" i="2" s="1"/>
  <c r="N20" i="2"/>
  <c r="O20" i="2" s="1"/>
  <c r="N17" i="2"/>
  <c r="O17" i="2" s="1"/>
  <c r="N24" i="2"/>
  <c r="O24" i="2" s="1"/>
  <c r="N32" i="2"/>
  <c r="O32" i="2" s="1"/>
  <c r="N29" i="2"/>
  <c r="O29" i="2" s="1"/>
  <c r="N26" i="2"/>
  <c r="O26" i="2" s="1"/>
  <c r="N19" i="2"/>
  <c r="O19" i="2" s="1"/>
</calcChain>
</file>

<file path=xl/sharedStrings.xml><?xml version="1.0" encoding="utf-8"?>
<sst xmlns="http://schemas.openxmlformats.org/spreadsheetml/2006/main" count="641" uniqueCount="202">
  <si>
    <t>시행년도</t>
  </si>
  <si>
    <t>시행사 구분</t>
  </si>
  <si>
    <t>권역구 구분</t>
  </si>
  <si>
    <t>강남구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</si>
  <si>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</si>
  <si>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</si>
  <si>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</si>
  <si>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</si>
  <si>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</si>
  <si>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</si>
  <si>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</si>
  <si>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</si>
  <si>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</si>
  <si>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</si>
  <si>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</si>
  <si>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</si>
  <si>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</si>
  <si>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</si>
  <si>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</si>
  <si>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</si>
  <si>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</si>
  <si>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</si>
  <si>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</si>
  <si>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</si>
  <si>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강남대로</t>
  </si>
  <si>
    <t>25-강남구-3</t>
  </si>
  <si>
    <t>양호</t>
  </si>
  <si>
    <t>거북등</t>
  </si>
  <si>
    <t>-</t>
  </si>
  <si>
    <t>일반</t>
  </si>
  <si>
    <t/>
  </si>
  <si>
    <t>논현동 17-4</t>
  </si>
  <si>
    <t>25-강남구-4</t>
  </si>
  <si>
    <t>25-강남구-5</t>
  </si>
  <si>
    <t>논현동 19-2</t>
  </si>
  <si>
    <t>25-강남구-6</t>
  </si>
  <si>
    <t>논현동 49</t>
  </si>
  <si>
    <t>25-강남구-7</t>
  </si>
  <si>
    <t>논현동 49-17</t>
  </si>
  <si>
    <t>25-강남구-8</t>
  </si>
  <si>
    <t>논현동 50</t>
  </si>
  <si>
    <t>25-강남구-9</t>
  </si>
  <si>
    <t>5cm미만 침하</t>
  </si>
  <si>
    <t>논현동 50-1</t>
  </si>
  <si>
    <t>25-강남구-10</t>
  </si>
  <si>
    <t>논현동 120</t>
  </si>
  <si>
    <t>25-강남구-11</t>
  </si>
  <si>
    <t>논현동 164</t>
  </si>
  <si>
    <t>25-강남구-12</t>
  </si>
  <si>
    <t>논현동 164-4</t>
  </si>
  <si>
    <t>25-강남구-13</t>
  </si>
  <si>
    <t>논현동 165</t>
  </si>
  <si>
    <t>25-강남구-14</t>
  </si>
  <si>
    <t>논현동 165-8</t>
  </si>
  <si>
    <t>25-강남구-15</t>
  </si>
  <si>
    <t>종균열</t>
  </si>
  <si>
    <t>논현동 199</t>
  </si>
  <si>
    <t>25-강남구-16</t>
  </si>
  <si>
    <t>논현동 200-7</t>
  </si>
  <si>
    <t>25-강남구-17</t>
  </si>
  <si>
    <t>역삼동 808</t>
  </si>
  <si>
    <t>25-강남구-18</t>
  </si>
  <si>
    <t>역삼동 808-4</t>
  </si>
  <si>
    <t>25-강남구-19</t>
  </si>
  <si>
    <t>역삼동 809-12</t>
  </si>
  <si>
    <t>25-강남구-20</t>
  </si>
  <si>
    <t>역삼동 814-5</t>
  </si>
  <si>
    <t>25-강남구-21</t>
  </si>
  <si>
    <t>역삼동 814-6</t>
  </si>
  <si>
    <t>25-강남구-22</t>
  </si>
  <si>
    <t>역삼동 815</t>
  </si>
  <si>
    <t>25-강남구-23</t>
  </si>
  <si>
    <t>역삼동 815-2</t>
  </si>
  <si>
    <t>25-강남구-24</t>
  </si>
  <si>
    <t>역삼동 815-5</t>
  </si>
  <si>
    <t>25-강남구-25</t>
  </si>
  <si>
    <t>역삼동 820</t>
  </si>
  <si>
    <t>25-강남구-26</t>
  </si>
  <si>
    <t>역삼동 820-8</t>
  </si>
  <si>
    <t>25-강남구-27</t>
  </si>
  <si>
    <t>역삼동 820-9</t>
  </si>
  <si>
    <t>26-강남구-01</t>
  </si>
  <si>
    <t>신사동501</t>
  </si>
  <si>
    <t>신사역 #6번출구 앞도로(강남대로616)</t>
  </si>
  <si>
    <t>26-강남구-02</t>
  </si>
  <si>
    <t>논현동1</t>
  </si>
  <si>
    <t>삼주빌딩 앞도로(강남대로606)</t>
  </si>
  <si>
    <t>26-강남구-03</t>
  </si>
  <si>
    <t>논현동17-4</t>
  </si>
  <si>
    <t>보림빌딩 청기와타운_신사점 앞도로(강남대로598)</t>
  </si>
  <si>
    <t>26-강남구-04</t>
  </si>
  <si>
    <t>논현동18-3</t>
  </si>
  <si>
    <t>제이빌딩 NHN벅스 앞도로(강남대로586)</t>
  </si>
  <si>
    <t>26-강남구-05</t>
  </si>
  <si>
    <t>논현동19</t>
  </si>
  <si>
    <t>기아_강남영동지점 앞도로(강남대로580)</t>
  </si>
  <si>
    <t>26-강남구-06</t>
  </si>
  <si>
    <t>논현동19-7</t>
  </si>
  <si>
    <t>전기공사공제조합회관 앞도로(강남대로574)</t>
  </si>
  <si>
    <t>26-강남구-07</t>
  </si>
  <si>
    <t>논현동49</t>
  </si>
  <si>
    <t>선양빌딩 앞 도로(강남대로570)</t>
  </si>
  <si>
    <t>26-강남구-08</t>
  </si>
  <si>
    <t>논현동49-4</t>
  </si>
  <si>
    <t>신영와코루빌딩 앞 도로(강남대로566)</t>
  </si>
  <si>
    <t>26-강남구-09</t>
  </si>
  <si>
    <t>논현동49-17</t>
  </si>
  <si>
    <t>강남빌딩 앞 도로(감남대로562)</t>
  </si>
  <si>
    <t>26-강남구-10</t>
  </si>
  <si>
    <t>논현동143</t>
  </si>
  <si>
    <t>신성빌딩 파리바게트 앞도로(강남대로532)</t>
  </si>
  <si>
    <t>26-강남구-11</t>
  </si>
  <si>
    <t>논현동164</t>
  </si>
  <si>
    <t>영동빌딩 광성약국 앞도로(강남대로520)</t>
  </si>
  <si>
    <t>26-강남구-12</t>
  </si>
  <si>
    <t>논현동164-11</t>
  </si>
  <si>
    <t>광명빌딩 정관장 앞도로(강남대로506)</t>
  </si>
  <si>
    <t>26-강남구-13</t>
  </si>
  <si>
    <t>논현동165</t>
  </si>
  <si>
    <t>서희타워 아웃백 앞도로(강남대로502)</t>
  </si>
  <si>
    <t>26-강남구-14</t>
  </si>
  <si>
    <t>논현동165-7</t>
  </si>
  <si>
    <t>데이뷰의원_강남 앞도로(강남대로494)</t>
  </si>
  <si>
    <t>26-강남구-15</t>
  </si>
  <si>
    <t>논현동199-2</t>
  </si>
  <si>
    <t>99빌딩 앞 도로(강남대로484)</t>
  </si>
  <si>
    <t>26-강남구-16</t>
  </si>
  <si>
    <t>교보타워사거리</t>
  </si>
  <si>
    <t>교차로 (봉은사로102)</t>
  </si>
  <si>
    <t>26-강남구-17</t>
  </si>
  <si>
    <t>역삼동809-10</t>
  </si>
  <si>
    <t>한석타워 앞도로(강남대로456)</t>
  </si>
  <si>
    <t>26-강남구-18</t>
  </si>
  <si>
    <t>역삼동809-12</t>
  </si>
  <si>
    <t>대연빌딩 앞 도로(강남대로452)</t>
  </si>
  <si>
    <t>26-강남구-19</t>
  </si>
  <si>
    <t>역삼동814-5</t>
  </si>
  <si>
    <t>흥국생명빌딩 앞 도로(강남대로442)</t>
  </si>
  <si>
    <t>26-강남구-20</t>
  </si>
  <si>
    <t>역삼동814-6</t>
  </si>
  <si>
    <t>스타플렉스 앞 도로(강남대로438)</t>
  </si>
  <si>
    <t>26-강남구-21</t>
  </si>
  <si>
    <t>역삼동815</t>
  </si>
  <si>
    <t>강남e스퀘어 앞 도로(강남대로432)</t>
  </si>
  <si>
    <t>26-강남구-22</t>
  </si>
  <si>
    <t>역삼동815-4</t>
  </si>
  <si>
    <t>만이빌딩 앞 도로(강남대로428)</t>
  </si>
  <si>
    <t>26-강남구-23</t>
  </si>
  <si>
    <t>역삼동815-5</t>
  </si>
  <si>
    <t>진우빌딩 일상비일상의틈 앞도로(426)</t>
  </si>
  <si>
    <t>26-강남구-24</t>
  </si>
  <si>
    <t>역삼동816-2</t>
  </si>
  <si>
    <t>역삼빌딩 조앤조의원 앞 도로(강남대로420)</t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</si>
  <si>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</si>
  <si>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</si>
  <si>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</si>
  <si>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</si>
  <si>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</si>
  <si>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</si>
  <si>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</si>
  <si>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신분당선</t>
  </si>
  <si>
    <t>2026-03-17~2026-05-27</t>
    <phoneticPr fontId="3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</si>
  <si>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</si>
  <si>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</si>
  <si>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</si>
  <si>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</si>
  <si>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</si>
  <si>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</si>
  <si>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</si>
  <si>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새서울철도㈜</t>
    <phoneticPr fontId="3" type="noConversion"/>
  </si>
  <si>
    <t>서울시</t>
    <phoneticPr fontId="3" type="noConversion"/>
  </si>
  <si>
    <t>25-강남구-1</t>
  </si>
  <si>
    <t>신사동 501</t>
  </si>
  <si>
    <t>25-강남구-2</t>
  </si>
  <si>
    <t>논현동 17</t>
  </si>
  <si>
    <t xml:space="preserve"> 논현동 18-3</t>
  </si>
  <si>
    <t>우리은행 앞
도로
(강남대로)</t>
  </si>
  <si>
    <t>신사역 환기구 앞
도로
(강남대로)</t>
  </si>
  <si>
    <t>청기와타운 앞
도로
(강남대로)</t>
  </si>
  <si>
    <t>NHN벅스 앞
도로
(강남대로)</t>
  </si>
  <si>
    <t>성현빌딩 앞
도로
(강남대로)</t>
  </si>
  <si>
    <t>CU편의점 앞
도로
(강남대로)</t>
  </si>
  <si>
    <t>국제미디 논현점 앞
도로
(강남대로)</t>
  </si>
  <si>
    <t>논현역#9번출구 앞
도로
(강남대로)</t>
  </si>
  <si>
    <t>논현역 교차로
도로
(강남대로)</t>
  </si>
  <si>
    <t>할리스커피 앞
도로
(강남대로)</t>
  </si>
  <si>
    <t>한국금거래소
강남논현점 앞
도로
(강남대로)</t>
  </si>
  <si>
    <t>아웃백 앞
도로
(강남대로)</t>
  </si>
  <si>
    <t>나나성형
외과의원 앞
도로
(강남대로)</t>
  </si>
  <si>
    <t>나나성형
외과의원 앞
횡단도로
(강남대로)</t>
  </si>
  <si>
    <t>신논현역#3번출 앞
도로
(강남대로)</t>
  </si>
  <si>
    <t>아디다스 앞
도로
(강남대로)</t>
  </si>
  <si>
    <t>신논현역 #5번출구 앞
도로
(강남대로)</t>
  </si>
  <si>
    <t>뮤즈의원 강남점 앞
도로
(강남대로)</t>
  </si>
  <si>
    <t>커피빈 앞
도로
(강남대로)</t>
  </si>
  <si>
    <t>CGV 앞
횡단보도
(강남대로)</t>
  </si>
  <si>
    <t>강남e스퀘어 앞
도로
(강남대로)</t>
  </si>
  <si>
    <t>ABC마트 앞
도로
(강남대로)</t>
  </si>
  <si>
    <t>진우빌딩 앞
도로
(강남대로)</t>
  </si>
  <si>
    <t>뉴발란스 앞
도로
(강남대로)</t>
  </si>
  <si>
    <t>디자인스킨 앞
도로
(강남대로)</t>
  </si>
  <si>
    <t>SC제일은행 앞
도로
(강남대로)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</si>
</sst>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fontId="0" fillId="0" borderId="0" xfId="0" applyNumberFormat="1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4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ACF29BA2-2A6C-4408-BD17-2B8B2BD9BC6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abSelected="1" workbookViewId="0">
      <selection activeCell="V19" sqref="V19"/>
    </sheetView>
  </sheetViews>
  <sheetFormatPr defaultRowHeight="17.25" x14ac:dyDescent="0.3"/>
  <sheetData>
    <row r="1" spans="1:21" x14ac:dyDescent="0.3">
      <c r="B1" t="s">
        <v>1</v>
      </c>
      <c r="C1" t="s">
        <v>2</v>
      </c>
    </row>
    <row r="2" spans="1:21" x14ac:dyDescent="0.3">
      <c r="B2" t="s">
        <v>169</v>
      </c>
      <c r="C2" t="s">
        <v>3</v>
      </c>
    </row>
    <row r="4" spans="1:21" x14ac:dyDescent="0.3">
      <c r="A4" t="s">
        <v>0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 spans="1:21" x14ac:dyDescent="0.3">
      <c r="A5">
        <v>2026</v>
      </c>
      <c r="B5">
        <v>1</v>
      </c>
      <c r="C5" t="s">
        <v>24</v>
      </c>
      <c r="D5" t="s">
        <v>81</v>
      </c>
      <c r="E5" t="s">
        <v>26</v>
      </c>
      <c r="F5" t="s">
        <v>27</v>
      </c>
      <c r="G5" t="s">
        <v>26</v>
      </c>
      <c r="H5">
        <v>4</v>
      </c>
      <c r="I5" t="s">
        <v>28</v>
      </c>
      <c r="J5">
        <v>0</v>
      </c>
      <c r="K5">
        <v>3</v>
      </c>
      <c r="L5">
        <v>0</v>
      </c>
      <c r="M5">
        <v>0</v>
      </c>
      <c r="N5">
        <v>0</v>
      </c>
      <c r="O5">
        <v>3</v>
      </c>
      <c r="P5" t="s">
        <v>29</v>
      </c>
      <c r="Q5" t="s">
        <v>28</v>
      </c>
      <c r="R5" t="s">
        <v>82</v>
      </c>
      <c r="S5" t="s">
        <v>30</v>
      </c>
      <c r="T5" t="s">
        <v>83</v>
      </c>
      <c r="U5" t="s">
        <v>30</v>
      </c>
    </row>
    <row r="6" spans="1:21" x14ac:dyDescent="0.3">
      <c r="A6">
        <v>2026</v>
      </c>
      <c r="B6">
        <v>2</v>
      </c>
      <c r="C6" t="s">
        <v>24</v>
      </c>
      <c r="D6" t="s">
        <v>84</v>
      </c>
      <c r="E6" t="s">
        <v>26</v>
      </c>
      <c r="F6" t="s">
        <v>27</v>
      </c>
      <c r="G6" t="s">
        <v>26</v>
      </c>
      <c r="H6">
        <v>4</v>
      </c>
      <c r="I6" t="s">
        <v>28</v>
      </c>
      <c r="J6">
        <v>0</v>
      </c>
      <c r="K6">
        <v>3</v>
      </c>
      <c r="L6">
        <v>0</v>
      </c>
      <c r="M6">
        <v>0</v>
      </c>
      <c r="N6">
        <v>0</v>
      </c>
      <c r="O6">
        <v>3</v>
      </c>
      <c r="P6" t="s">
        <v>29</v>
      </c>
      <c r="Q6" t="s">
        <v>28</v>
      </c>
      <c r="R6" t="s">
        <v>85</v>
      </c>
      <c r="S6" t="s">
        <v>30</v>
      </c>
      <c r="T6" t="s">
        <v>86</v>
      </c>
      <c r="U6" t="s">
        <v>30</v>
      </c>
    </row>
    <row r="7" spans="1:21" x14ac:dyDescent="0.3">
      <c r="A7">
        <v>2026</v>
      </c>
      <c r="B7">
        <v>3</v>
      </c>
      <c r="C7" t="s">
        <v>24</v>
      </c>
      <c r="D7" t="s">
        <v>87</v>
      </c>
      <c r="E7" t="s">
        <v>26</v>
      </c>
      <c r="F7" t="s">
        <v>27</v>
      </c>
      <c r="G7" t="s">
        <v>26</v>
      </c>
      <c r="H7">
        <v>4</v>
      </c>
      <c r="I7" t="s">
        <v>28</v>
      </c>
      <c r="J7">
        <v>0</v>
      </c>
      <c r="K7">
        <v>3</v>
      </c>
      <c r="L7">
        <v>0</v>
      </c>
      <c r="M7">
        <v>0</v>
      </c>
      <c r="N7">
        <v>0</v>
      </c>
      <c r="O7">
        <v>3</v>
      </c>
      <c r="P7" t="s">
        <v>29</v>
      </c>
      <c r="Q7" t="s">
        <v>28</v>
      </c>
      <c r="R7" t="s">
        <v>88</v>
      </c>
      <c r="S7" t="s">
        <v>30</v>
      </c>
      <c r="T7" t="s">
        <v>89</v>
      </c>
      <c r="U7" t="s">
        <v>30</v>
      </c>
    </row>
    <row r="8" spans="1:21" x14ac:dyDescent="0.3">
      <c r="A8">
        <v>2026</v>
      </c>
      <c r="B8">
        <v>4</v>
      </c>
      <c r="C8" t="s">
        <v>24</v>
      </c>
      <c r="D8" t="s">
        <v>90</v>
      </c>
      <c r="E8" t="s">
        <v>26</v>
      </c>
      <c r="F8" t="s">
        <v>27</v>
      </c>
      <c r="G8" t="s">
        <v>26</v>
      </c>
      <c r="H8">
        <v>4</v>
      </c>
      <c r="I8" t="s">
        <v>28</v>
      </c>
      <c r="J8">
        <v>0</v>
      </c>
      <c r="K8">
        <v>3</v>
      </c>
      <c r="L8">
        <v>0</v>
      </c>
      <c r="M8">
        <v>0</v>
      </c>
      <c r="N8">
        <v>0</v>
      </c>
      <c r="O8">
        <v>3</v>
      </c>
      <c r="P8" t="s">
        <v>29</v>
      </c>
      <c r="Q8" t="s">
        <v>28</v>
      </c>
      <c r="R8" t="s">
        <v>91</v>
      </c>
      <c r="S8" t="s">
        <v>30</v>
      </c>
      <c r="T8" t="s">
        <v>92</v>
      </c>
      <c r="U8" t="s">
        <v>30</v>
      </c>
    </row>
    <row r="9" spans="1:21" x14ac:dyDescent="0.3">
      <c r="A9">
        <v>2026</v>
      </c>
      <c r="B9">
        <v>5</v>
      </c>
      <c r="C9" t="s">
        <v>24</v>
      </c>
      <c r="D9" t="s">
        <v>93</v>
      </c>
      <c r="E9" t="s">
        <v>26</v>
      </c>
      <c r="F9" t="s">
        <v>27</v>
      </c>
      <c r="G9" t="s">
        <v>26</v>
      </c>
      <c r="H9">
        <v>4</v>
      </c>
      <c r="I9" t="s">
        <v>28</v>
      </c>
      <c r="J9">
        <v>0</v>
      </c>
      <c r="K9">
        <v>3</v>
      </c>
      <c r="L9">
        <v>0</v>
      </c>
      <c r="M9">
        <v>0</v>
      </c>
      <c r="N9">
        <v>0</v>
      </c>
      <c r="O9">
        <v>3</v>
      </c>
      <c r="P9" t="s">
        <v>29</v>
      </c>
      <c r="Q9" t="s">
        <v>28</v>
      </c>
      <c r="R9" t="s">
        <v>94</v>
      </c>
      <c r="S9" t="s">
        <v>30</v>
      </c>
      <c r="T9" t="s">
        <v>95</v>
      </c>
      <c r="U9" t="s">
        <v>30</v>
      </c>
    </row>
    <row r="10" spans="1:21" x14ac:dyDescent="0.3">
      <c r="A10">
        <v>2026</v>
      </c>
      <c r="B10">
        <v>6</v>
      </c>
      <c r="C10" t="s">
        <v>24</v>
      </c>
      <c r="D10" t="s">
        <v>96</v>
      </c>
      <c r="E10" t="s">
        <v>26</v>
      </c>
      <c r="F10" t="s">
        <v>27</v>
      </c>
      <c r="G10" t="s">
        <v>26</v>
      </c>
      <c r="H10">
        <v>4</v>
      </c>
      <c r="I10" t="s">
        <v>28</v>
      </c>
      <c r="J10">
        <v>0</v>
      </c>
      <c r="K10">
        <v>3</v>
      </c>
      <c r="L10">
        <v>0</v>
      </c>
      <c r="M10">
        <v>0</v>
      </c>
      <c r="N10">
        <v>0</v>
      </c>
      <c r="O10">
        <v>3</v>
      </c>
      <c r="P10" t="s">
        <v>29</v>
      </c>
      <c r="Q10" t="s">
        <v>28</v>
      </c>
      <c r="R10" t="s">
        <v>97</v>
      </c>
      <c r="S10" t="s">
        <v>30</v>
      </c>
      <c r="T10" t="s">
        <v>98</v>
      </c>
      <c r="U10" t="s">
        <v>30</v>
      </c>
    </row>
    <row r="11" spans="1:21" x14ac:dyDescent="0.3">
      <c r="A11">
        <v>2026</v>
      </c>
      <c r="B11">
        <v>7</v>
      </c>
      <c r="C11" t="s">
        <v>24</v>
      </c>
      <c r="D11" t="s">
        <v>99</v>
      </c>
      <c r="E11" t="s">
        <v>26</v>
      </c>
      <c r="F11" t="s">
        <v>27</v>
      </c>
      <c r="G11" t="s">
        <v>26</v>
      </c>
      <c r="H11">
        <v>4</v>
      </c>
      <c r="I11" t="s">
        <v>28</v>
      </c>
      <c r="J11">
        <v>0</v>
      </c>
      <c r="K11">
        <v>3</v>
      </c>
      <c r="L11">
        <v>0</v>
      </c>
      <c r="M11">
        <v>0</v>
      </c>
      <c r="N11">
        <v>0</v>
      </c>
      <c r="O11">
        <v>3</v>
      </c>
      <c r="P11" t="s">
        <v>29</v>
      </c>
      <c r="Q11" t="s">
        <v>28</v>
      </c>
      <c r="R11" t="s">
        <v>100</v>
      </c>
      <c r="S11" t="s">
        <v>30</v>
      </c>
      <c r="T11" t="s">
        <v>101</v>
      </c>
      <c r="U11" t="s">
        <v>30</v>
      </c>
    </row>
    <row r="12" spans="1:21" x14ac:dyDescent="0.3">
      <c r="A12">
        <v>2026</v>
      </c>
      <c r="B12">
        <v>8</v>
      </c>
      <c r="C12" t="s">
        <v>24</v>
      </c>
      <c r="D12" t="s">
        <v>102</v>
      </c>
      <c r="E12" t="s">
        <v>26</v>
      </c>
      <c r="F12" t="s">
        <v>27</v>
      </c>
      <c r="G12" t="s">
        <v>26</v>
      </c>
      <c r="H12">
        <v>4</v>
      </c>
      <c r="I12" t="s">
        <v>28</v>
      </c>
      <c r="J12">
        <v>0</v>
      </c>
      <c r="K12">
        <v>3</v>
      </c>
      <c r="L12">
        <v>0</v>
      </c>
      <c r="M12">
        <v>0</v>
      </c>
      <c r="N12">
        <v>0</v>
      </c>
      <c r="O12">
        <v>3</v>
      </c>
      <c r="P12" t="s">
        <v>29</v>
      </c>
      <c r="Q12" t="s">
        <v>28</v>
      </c>
      <c r="R12" t="s">
        <v>103</v>
      </c>
      <c r="S12" t="s">
        <v>30</v>
      </c>
      <c r="T12" t="s">
        <v>104</v>
      </c>
      <c r="U12" t="s">
        <v>30</v>
      </c>
    </row>
    <row r="13" spans="1:21" x14ac:dyDescent="0.3">
      <c r="A13">
        <v>2026</v>
      </c>
      <c r="B13">
        <v>9</v>
      </c>
      <c r="C13" t="s">
        <v>24</v>
      </c>
      <c r="D13" t="s">
        <v>105</v>
      </c>
      <c r="E13" t="s">
        <v>26</v>
      </c>
      <c r="F13" t="s">
        <v>27</v>
      </c>
      <c r="G13" t="s">
        <v>26</v>
      </c>
      <c r="H13">
        <v>4</v>
      </c>
      <c r="I13" t="s">
        <v>28</v>
      </c>
      <c r="J13">
        <v>0</v>
      </c>
      <c r="K13">
        <v>3</v>
      </c>
      <c r="L13">
        <v>0</v>
      </c>
      <c r="M13">
        <v>0</v>
      </c>
      <c r="N13">
        <v>0</v>
      </c>
      <c r="O13">
        <v>3</v>
      </c>
      <c r="P13" t="s">
        <v>29</v>
      </c>
      <c r="Q13" t="s">
        <v>28</v>
      </c>
      <c r="R13" t="s">
        <v>106</v>
      </c>
      <c r="S13" t="s">
        <v>30</v>
      </c>
      <c r="T13" t="s">
        <v>107</v>
      </c>
      <c r="U13" t="s">
        <v>30</v>
      </c>
    </row>
    <row r="14" spans="1:21" x14ac:dyDescent="0.3">
      <c r="A14">
        <v>2026</v>
      </c>
      <c r="B14">
        <v>10</v>
      </c>
      <c r="C14" t="s">
        <v>24</v>
      </c>
      <c r="D14" t="s">
        <v>108</v>
      </c>
      <c r="E14" t="s">
        <v>26</v>
      </c>
      <c r="F14" t="s">
        <v>55</v>
      </c>
      <c r="G14" t="s">
        <v>26</v>
      </c>
      <c r="H14">
        <v>4</v>
      </c>
      <c r="I14" t="s">
        <v>28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 t="s">
        <v>29</v>
      </c>
      <c r="Q14" t="s">
        <v>28</v>
      </c>
      <c r="R14" t="s">
        <v>109</v>
      </c>
      <c r="S14" t="s">
        <v>30</v>
      </c>
      <c r="T14" t="s">
        <v>110</v>
      </c>
      <c r="U14" t="s">
        <v>30</v>
      </c>
    </row>
    <row r="15" spans="1:21" x14ac:dyDescent="0.3">
      <c r="A15">
        <v>2026</v>
      </c>
      <c r="B15">
        <v>11</v>
      </c>
      <c r="C15" t="s">
        <v>24</v>
      </c>
      <c r="D15" t="s">
        <v>111</v>
      </c>
      <c r="E15" t="s">
        <v>26</v>
      </c>
      <c r="F15" t="s">
        <v>27</v>
      </c>
      <c r="G15" t="s">
        <v>26</v>
      </c>
      <c r="H15">
        <v>4</v>
      </c>
      <c r="I15" t="s">
        <v>28</v>
      </c>
      <c r="J15">
        <v>0</v>
      </c>
      <c r="K15">
        <v>3</v>
      </c>
      <c r="L15">
        <v>0</v>
      </c>
      <c r="M15">
        <v>0</v>
      </c>
      <c r="N15">
        <v>0</v>
      </c>
      <c r="O15">
        <v>3</v>
      </c>
      <c r="P15" t="s">
        <v>29</v>
      </c>
      <c r="Q15" t="s">
        <v>28</v>
      </c>
      <c r="R15" t="s">
        <v>112</v>
      </c>
      <c r="S15" t="s">
        <v>30</v>
      </c>
      <c r="T15" t="s">
        <v>113</v>
      </c>
      <c r="U15" t="s">
        <v>30</v>
      </c>
    </row>
    <row r="16" spans="1:21" x14ac:dyDescent="0.3">
      <c r="A16">
        <v>2026</v>
      </c>
      <c r="B16">
        <v>12</v>
      </c>
      <c r="C16" t="s">
        <v>24</v>
      </c>
      <c r="D16" t="s">
        <v>114</v>
      </c>
      <c r="E16" t="s">
        <v>26</v>
      </c>
      <c r="F16" t="s">
        <v>27</v>
      </c>
      <c r="G16" t="s">
        <v>26</v>
      </c>
      <c r="H16">
        <v>4</v>
      </c>
      <c r="I16" t="s">
        <v>28</v>
      </c>
      <c r="J16">
        <v>0</v>
      </c>
      <c r="K16">
        <v>3</v>
      </c>
      <c r="L16">
        <v>0</v>
      </c>
      <c r="M16">
        <v>0</v>
      </c>
      <c r="N16">
        <v>0</v>
      </c>
      <c r="O16">
        <v>3</v>
      </c>
      <c r="P16" t="s">
        <v>29</v>
      </c>
      <c r="Q16" t="s">
        <v>28</v>
      </c>
      <c r="R16" t="s">
        <v>115</v>
      </c>
      <c r="S16" t="s">
        <v>30</v>
      </c>
      <c r="T16" t="s">
        <v>116</v>
      </c>
      <c r="U16" t="s">
        <v>30</v>
      </c>
    </row>
    <row r="17" spans="1:21" x14ac:dyDescent="0.3">
      <c r="A17">
        <v>2026</v>
      </c>
      <c r="B17">
        <v>13</v>
      </c>
      <c r="C17" t="s">
        <v>24</v>
      </c>
      <c r="D17" t="s">
        <v>117</v>
      </c>
      <c r="E17" t="s">
        <v>26</v>
      </c>
      <c r="F17" t="s">
        <v>27</v>
      </c>
      <c r="G17" t="s">
        <v>26</v>
      </c>
      <c r="H17">
        <v>4</v>
      </c>
      <c r="I17" t="s">
        <v>28</v>
      </c>
      <c r="J17">
        <v>0</v>
      </c>
      <c r="K17">
        <v>3</v>
      </c>
      <c r="L17">
        <v>0</v>
      </c>
      <c r="M17">
        <v>0</v>
      </c>
      <c r="N17">
        <v>0</v>
      </c>
      <c r="O17">
        <v>3</v>
      </c>
      <c r="P17" t="s">
        <v>29</v>
      </c>
      <c r="Q17" t="s">
        <v>42</v>
      </c>
      <c r="R17" t="s">
        <v>118</v>
      </c>
      <c r="S17" t="s">
        <v>30</v>
      </c>
      <c r="T17" t="s">
        <v>119</v>
      </c>
      <c r="U17" t="s">
        <v>30</v>
      </c>
    </row>
    <row r="18" spans="1:21" x14ac:dyDescent="0.3">
      <c r="A18">
        <v>2026</v>
      </c>
      <c r="B18">
        <v>14</v>
      </c>
      <c r="C18" t="s">
        <v>24</v>
      </c>
      <c r="D18" t="s">
        <v>120</v>
      </c>
      <c r="E18" t="s">
        <v>26</v>
      </c>
      <c r="F18" t="s">
        <v>27</v>
      </c>
      <c r="G18" t="s">
        <v>26</v>
      </c>
      <c r="H18">
        <v>4</v>
      </c>
      <c r="I18" t="s">
        <v>28</v>
      </c>
      <c r="J18">
        <v>0</v>
      </c>
      <c r="K18">
        <v>3</v>
      </c>
      <c r="L18">
        <v>0</v>
      </c>
      <c r="M18">
        <v>0</v>
      </c>
      <c r="N18">
        <v>0</v>
      </c>
      <c r="O18">
        <v>3</v>
      </c>
      <c r="P18" t="s">
        <v>29</v>
      </c>
      <c r="Q18" t="s">
        <v>28</v>
      </c>
      <c r="R18" t="s">
        <v>121</v>
      </c>
      <c r="S18" t="s">
        <v>30</v>
      </c>
      <c r="T18" t="s">
        <v>122</v>
      </c>
      <c r="U18" t="s">
        <v>30</v>
      </c>
    </row>
    <row r="19" spans="1:21" x14ac:dyDescent="0.3">
      <c r="A19">
        <v>2026</v>
      </c>
      <c r="B19">
        <v>15</v>
      </c>
      <c r="C19" t="s">
        <v>24</v>
      </c>
      <c r="D19" t="s">
        <v>123</v>
      </c>
      <c r="E19" t="s">
        <v>26</v>
      </c>
      <c r="F19" t="s">
        <v>27</v>
      </c>
      <c r="G19" t="s">
        <v>26</v>
      </c>
      <c r="H19">
        <v>4</v>
      </c>
      <c r="I19" t="s">
        <v>28</v>
      </c>
      <c r="J19">
        <v>0</v>
      </c>
      <c r="K19">
        <v>3</v>
      </c>
      <c r="L19">
        <v>0</v>
      </c>
      <c r="M19">
        <v>0</v>
      </c>
      <c r="N19">
        <v>0</v>
      </c>
      <c r="O19">
        <v>3</v>
      </c>
      <c r="P19" t="s">
        <v>29</v>
      </c>
      <c r="Q19" t="s">
        <v>28</v>
      </c>
      <c r="R19" t="s">
        <v>124</v>
      </c>
      <c r="S19" t="s">
        <v>30</v>
      </c>
      <c r="T19" t="s">
        <v>125</v>
      </c>
      <c r="U19" t="s">
        <v>30</v>
      </c>
    </row>
    <row r="20" spans="1:21" x14ac:dyDescent="0.3">
      <c r="A20">
        <v>2026</v>
      </c>
      <c r="B20">
        <v>16</v>
      </c>
      <c r="C20" t="s">
        <v>24</v>
      </c>
      <c r="D20" t="s">
        <v>126</v>
      </c>
      <c r="E20" t="s">
        <v>26</v>
      </c>
      <c r="F20" t="s">
        <v>27</v>
      </c>
      <c r="G20" t="s">
        <v>26</v>
      </c>
      <c r="H20">
        <v>4</v>
      </c>
      <c r="I20" t="s">
        <v>28</v>
      </c>
      <c r="J20">
        <v>0</v>
      </c>
      <c r="K20">
        <v>3</v>
      </c>
      <c r="L20">
        <v>0</v>
      </c>
      <c r="M20">
        <v>0</v>
      </c>
      <c r="N20">
        <v>0</v>
      </c>
      <c r="O20">
        <v>3</v>
      </c>
      <c r="P20" t="s">
        <v>29</v>
      </c>
      <c r="Q20" t="s">
        <v>28</v>
      </c>
      <c r="R20" t="s">
        <v>127</v>
      </c>
      <c r="S20" t="s">
        <v>30</v>
      </c>
      <c r="T20" t="s">
        <v>128</v>
      </c>
      <c r="U20" t="s">
        <v>30</v>
      </c>
    </row>
    <row r="21" spans="1:21" x14ac:dyDescent="0.3">
      <c r="A21">
        <v>2026</v>
      </c>
      <c r="B21">
        <v>17</v>
      </c>
      <c r="C21" t="s">
        <v>24</v>
      </c>
      <c r="D21" t="s">
        <v>129</v>
      </c>
      <c r="E21" t="s">
        <v>26</v>
      </c>
      <c r="F21" t="s">
        <v>55</v>
      </c>
      <c r="G21" t="s">
        <v>26</v>
      </c>
      <c r="H21">
        <v>4</v>
      </c>
      <c r="I21" t="s">
        <v>28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 t="s">
        <v>29</v>
      </c>
      <c r="Q21" t="s">
        <v>28</v>
      </c>
      <c r="R21" t="s">
        <v>130</v>
      </c>
      <c r="S21" t="s">
        <v>30</v>
      </c>
      <c r="T21" t="s">
        <v>131</v>
      </c>
      <c r="U21" t="s">
        <v>30</v>
      </c>
    </row>
    <row r="22" spans="1:21" x14ac:dyDescent="0.3">
      <c r="A22">
        <v>2026</v>
      </c>
      <c r="B22">
        <v>18</v>
      </c>
      <c r="C22" t="s">
        <v>24</v>
      </c>
      <c r="D22" t="s">
        <v>132</v>
      </c>
      <c r="E22" t="s">
        <v>26</v>
      </c>
      <c r="F22" t="s">
        <v>27</v>
      </c>
      <c r="G22" t="s">
        <v>26</v>
      </c>
      <c r="H22">
        <v>4</v>
      </c>
      <c r="I22" t="s">
        <v>28</v>
      </c>
      <c r="J22">
        <v>0</v>
      </c>
      <c r="K22">
        <v>3</v>
      </c>
      <c r="L22">
        <v>0</v>
      </c>
      <c r="M22">
        <v>0</v>
      </c>
      <c r="N22">
        <v>0</v>
      </c>
      <c r="O22">
        <v>3</v>
      </c>
      <c r="P22" t="s">
        <v>29</v>
      </c>
      <c r="Q22" t="s">
        <v>28</v>
      </c>
      <c r="R22" t="s">
        <v>133</v>
      </c>
      <c r="S22" t="s">
        <v>30</v>
      </c>
      <c r="T22" t="s">
        <v>134</v>
      </c>
      <c r="U22" t="s">
        <v>30</v>
      </c>
    </row>
    <row r="23" spans="1:21" x14ac:dyDescent="0.3">
      <c r="A23">
        <v>2026</v>
      </c>
      <c r="B23">
        <v>19</v>
      </c>
      <c r="C23" t="s">
        <v>24</v>
      </c>
      <c r="D23" t="s">
        <v>135</v>
      </c>
      <c r="E23" t="s">
        <v>26</v>
      </c>
      <c r="F23" t="s">
        <v>27</v>
      </c>
      <c r="G23" t="s">
        <v>26</v>
      </c>
      <c r="H23">
        <v>4</v>
      </c>
      <c r="I23" t="s">
        <v>28</v>
      </c>
      <c r="J23">
        <v>0</v>
      </c>
      <c r="K23">
        <v>3</v>
      </c>
      <c r="L23">
        <v>0</v>
      </c>
      <c r="M23">
        <v>0</v>
      </c>
      <c r="N23">
        <v>0</v>
      </c>
      <c r="O23">
        <v>3</v>
      </c>
      <c r="P23" t="s">
        <v>29</v>
      </c>
      <c r="Q23" t="s">
        <v>28</v>
      </c>
      <c r="R23" t="s">
        <v>136</v>
      </c>
      <c r="S23" t="s">
        <v>30</v>
      </c>
      <c r="T23" t="s">
        <v>137</v>
      </c>
      <c r="U23" t="s">
        <v>30</v>
      </c>
    </row>
    <row r="24" spans="1:21" x14ac:dyDescent="0.3">
      <c r="A24">
        <v>2026</v>
      </c>
      <c r="B24">
        <v>20</v>
      </c>
      <c r="C24" t="s">
        <v>24</v>
      </c>
      <c r="D24" t="s">
        <v>138</v>
      </c>
      <c r="E24" t="s">
        <v>26</v>
      </c>
      <c r="F24" t="s">
        <v>27</v>
      </c>
      <c r="G24" t="s">
        <v>26</v>
      </c>
      <c r="H24">
        <v>4</v>
      </c>
      <c r="I24" t="s">
        <v>28</v>
      </c>
      <c r="J24">
        <v>0</v>
      </c>
      <c r="K24">
        <v>3</v>
      </c>
      <c r="L24">
        <v>0</v>
      </c>
      <c r="M24">
        <v>0</v>
      </c>
      <c r="N24">
        <v>0</v>
      </c>
      <c r="O24">
        <v>3</v>
      </c>
      <c r="P24" t="s">
        <v>29</v>
      </c>
      <c r="Q24" t="s">
        <v>28</v>
      </c>
      <c r="R24" t="s">
        <v>139</v>
      </c>
      <c r="S24" t="s">
        <v>30</v>
      </c>
      <c r="T24" t="s">
        <v>140</v>
      </c>
      <c r="U24" t="s">
        <v>30</v>
      </c>
    </row>
    <row r="25" spans="1:21" x14ac:dyDescent="0.3">
      <c r="A25">
        <v>2026</v>
      </c>
      <c r="B25">
        <v>21</v>
      </c>
      <c r="C25" t="s">
        <v>24</v>
      </c>
      <c r="D25" t="s">
        <v>141</v>
      </c>
      <c r="E25" t="s">
        <v>26</v>
      </c>
      <c r="F25" t="s">
        <v>27</v>
      </c>
      <c r="G25" t="s">
        <v>26</v>
      </c>
      <c r="H25">
        <v>4</v>
      </c>
      <c r="I25" t="s">
        <v>28</v>
      </c>
      <c r="J25">
        <v>0</v>
      </c>
      <c r="K25">
        <v>3</v>
      </c>
      <c r="L25">
        <v>0</v>
      </c>
      <c r="M25">
        <v>0</v>
      </c>
      <c r="N25">
        <v>0</v>
      </c>
      <c r="O25">
        <v>3</v>
      </c>
      <c r="P25" t="s">
        <v>29</v>
      </c>
      <c r="Q25" t="s">
        <v>28</v>
      </c>
      <c r="R25" t="s">
        <v>142</v>
      </c>
      <c r="S25" t="s">
        <v>30</v>
      </c>
      <c r="T25" t="s">
        <v>143</v>
      </c>
      <c r="U25" t="s">
        <v>30</v>
      </c>
    </row>
    <row r="26" spans="1:21" x14ac:dyDescent="0.3">
      <c r="A26">
        <v>2026</v>
      </c>
      <c r="B26">
        <v>22</v>
      </c>
      <c r="C26" t="s">
        <v>24</v>
      </c>
      <c r="D26" t="s">
        <v>144</v>
      </c>
      <c r="E26" t="s">
        <v>26</v>
      </c>
      <c r="F26" t="s">
        <v>27</v>
      </c>
      <c r="G26" t="s">
        <v>26</v>
      </c>
      <c r="H26">
        <v>4</v>
      </c>
      <c r="I26" t="s">
        <v>28</v>
      </c>
      <c r="J26">
        <v>0</v>
      </c>
      <c r="K26">
        <v>3</v>
      </c>
      <c r="L26">
        <v>0</v>
      </c>
      <c r="M26">
        <v>0</v>
      </c>
      <c r="N26">
        <v>0</v>
      </c>
      <c r="O26">
        <v>3</v>
      </c>
      <c r="P26" t="s">
        <v>29</v>
      </c>
      <c r="Q26" t="s">
        <v>28</v>
      </c>
      <c r="R26" t="s">
        <v>145</v>
      </c>
      <c r="S26" t="s">
        <v>30</v>
      </c>
      <c r="T26" t="s">
        <v>146</v>
      </c>
      <c r="U26" t="s">
        <v>30</v>
      </c>
    </row>
    <row r="27" spans="1:21" x14ac:dyDescent="0.3">
      <c r="A27">
        <v>2026</v>
      </c>
      <c r="B27">
        <v>23</v>
      </c>
      <c r="C27" t="s">
        <v>24</v>
      </c>
      <c r="D27" t="s">
        <v>147</v>
      </c>
      <c r="E27" t="s">
        <v>26</v>
      </c>
      <c r="F27" t="s">
        <v>27</v>
      </c>
      <c r="G27" t="s">
        <v>26</v>
      </c>
      <c r="H27">
        <v>4</v>
      </c>
      <c r="I27" t="s">
        <v>28</v>
      </c>
      <c r="J27">
        <v>0</v>
      </c>
      <c r="K27">
        <v>3</v>
      </c>
      <c r="L27">
        <v>0</v>
      </c>
      <c r="M27">
        <v>0</v>
      </c>
      <c r="N27">
        <v>0</v>
      </c>
      <c r="O27">
        <v>3</v>
      </c>
      <c r="P27" t="s">
        <v>29</v>
      </c>
      <c r="Q27" t="s">
        <v>28</v>
      </c>
      <c r="R27" t="s">
        <v>148</v>
      </c>
      <c r="S27" t="s">
        <v>30</v>
      </c>
      <c r="T27" t="s">
        <v>149</v>
      </c>
      <c r="U27" t="s">
        <v>30</v>
      </c>
    </row>
    <row r="28" spans="1:21" x14ac:dyDescent="0.3">
      <c r="A28">
        <v>2026</v>
      </c>
      <c r="B28">
        <v>24</v>
      </c>
      <c r="C28" t="s">
        <v>24</v>
      </c>
      <c r="D28" t="s">
        <v>150</v>
      </c>
      <c r="E28" t="s">
        <v>26</v>
      </c>
      <c r="F28" t="s">
        <v>27</v>
      </c>
      <c r="G28" t="s">
        <v>26</v>
      </c>
      <c r="H28">
        <v>4</v>
      </c>
      <c r="I28" t="s">
        <v>28</v>
      </c>
      <c r="J28">
        <v>0</v>
      </c>
      <c r="K28">
        <v>3</v>
      </c>
      <c r="L28">
        <v>0</v>
      </c>
      <c r="M28">
        <v>0</v>
      </c>
      <c r="N28">
        <v>0</v>
      </c>
      <c r="O28">
        <v>3</v>
      </c>
      <c r="P28" t="s">
        <v>29</v>
      </c>
      <c r="Q28" t="s">
        <v>28</v>
      </c>
      <c r="R28" t="s">
        <v>151</v>
      </c>
      <c r="S28" t="s">
        <v>30</v>
      </c>
      <c r="T28" t="s">
        <v>152</v>
      </c>
      <c r="U28" t="s">
        <v>30</v>
      </c>
    </row>
    <row r="29" spans="1:21" x14ac:dyDescent="0.3">
      <c r="A29">
        <v>2025</v>
      </c>
      <c r="B29">
        <v>1</v>
      </c>
      <c r="C29" t="s">
        <v>24</v>
      </c>
      <c r="D29" t="s">
        <v>171</v>
      </c>
      <c r="E29" t="s">
        <v>26</v>
      </c>
      <c r="F29" t="s">
        <v>55</v>
      </c>
      <c r="G29" t="s">
        <v>26</v>
      </c>
      <c r="H29">
        <v>2</v>
      </c>
      <c r="I29" t="s">
        <v>28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 t="s">
        <v>29</v>
      </c>
      <c r="R29" t="s">
        <v>172</v>
      </c>
      <c r="S29" t="s">
        <v>30</v>
      </c>
      <c r="T29" t="s">
        <v>176</v>
      </c>
      <c r="U29" t="s">
        <v>30</v>
      </c>
    </row>
    <row r="30" spans="1:21" x14ac:dyDescent="0.3">
      <c r="A30">
        <v>2025</v>
      </c>
      <c r="B30">
        <v>2</v>
      </c>
      <c r="C30" t="s">
        <v>24</v>
      </c>
      <c r="D30" t="s">
        <v>173</v>
      </c>
      <c r="E30" t="s">
        <v>26</v>
      </c>
      <c r="F30" t="s">
        <v>28</v>
      </c>
      <c r="G30" t="s">
        <v>26</v>
      </c>
      <c r="H30">
        <v>2</v>
      </c>
      <c r="I30" t="s">
        <v>28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29</v>
      </c>
      <c r="Q30" t="s">
        <v>42</v>
      </c>
      <c r="R30" t="s">
        <v>174</v>
      </c>
      <c r="S30" t="s">
        <v>30</v>
      </c>
      <c r="T30" t="s">
        <v>177</v>
      </c>
      <c r="U30" t="s">
        <v>30</v>
      </c>
    </row>
    <row r="31" spans="1:21" x14ac:dyDescent="0.3">
      <c r="A31">
        <v>2025</v>
      </c>
      <c r="B31">
        <v>3</v>
      </c>
      <c r="C31" t="s">
        <v>24</v>
      </c>
      <c r="D31" t="s">
        <v>25</v>
      </c>
      <c r="E31" t="s">
        <v>26</v>
      </c>
      <c r="F31" t="s">
        <v>27</v>
      </c>
      <c r="G31" t="s">
        <v>26</v>
      </c>
      <c r="H31">
        <v>2</v>
      </c>
      <c r="I31" t="s">
        <v>28</v>
      </c>
      <c r="J31">
        <v>0</v>
      </c>
      <c r="K31">
        <v>3</v>
      </c>
      <c r="L31">
        <v>0</v>
      </c>
      <c r="M31">
        <v>0</v>
      </c>
      <c r="N31">
        <v>0</v>
      </c>
      <c r="O31">
        <v>3</v>
      </c>
      <c r="P31" t="s">
        <v>29</v>
      </c>
      <c r="R31" t="s">
        <v>31</v>
      </c>
      <c r="S31" t="s">
        <v>30</v>
      </c>
      <c r="T31" t="s">
        <v>178</v>
      </c>
      <c r="U31" t="s">
        <v>30</v>
      </c>
    </row>
    <row r="32" spans="1:21" x14ac:dyDescent="0.3">
      <c r="A32">
        <v>2025</v>
      </c>
      <c r="B32">
        <v>4</v>
      </c>
      <c r="C32" t="s">
        <v>24</v>
      </c>
      <c r="D32" t="s">
        <v>32</v>
      </c>
      <c r="E32" t="s">
        <v>26</v>
      </c>
      <c r="F32" t="s">
        <v>27</v>
      </c>
      <c r="G32" t="s">
        <v>26</v>
      </c>
      <c r="H32">
        <v>2</v>
      </c>
      <c r="I32" t="s">
        <v>28</v>
      </c>
      <c r="J32">
        <v>0</v>
      </c>
      <c r="K32">
        <v>3</v>
      </c>
      <c r="L32">
        <v>0</v>
      </c>
      <c r="M32">
        <v>0</v>
      </c>
      <c r="N32">
        <v>0</v>
      </c>
      <c r="O32">
        <v>3</v>
      </c>
      <c r="P32" t="s">
        <v>29</v>
      </c>
      <c r="R32" t="s">
        <v>175</v>
      </c>
      <c r="S32" t="s">
        <v>30</v>
      </c>
      <c r="T32" t="s">
        <v>179</v>
      </c>
      <c r="U32" t="s">
        <v>30</v>
      </c>
    </row>
    <row r="33" spans="1:21" x14ac:dyDescent="0.3">
      <c r="A33">
        <v>2025</v>
      </c>
      <c r="B33">
        <v>5</v>
      </c>
      <c r="C33" t="s">
        <v>24</v>
      </c>
      <c r="D33" t="s">
        <v>33</v>
      </c>
      <c r="E33" t="s">
        <v>26</v>
      </c>
      <c r="F33" t="s">
        <v>27</v>
      </c>
      <c r="G33" t="s">
        <v>26</v>
      </c>
      <c r="H33">
        <v>2</v>
      </c>
      <c r="I33" t="s">
        <v>28</v>
      </c>
      <c r="J33">
        <v>0</v>
      </c>
      <c r="K33">
        <v>3</v>
      </c>
      <c r="L33">
        <v>0</v>
      </c>
      <c r="M33">
        <v>0</v>
      </c>
      <c r="N33">
        <v>0</v>
      </c>
      <c r="O33">
        <v>3</v>
      </c>
      <c r="P33" t="s">
        <v>29</v>
      </c>
      <c r="R33" t="s">
        <v>34</v>
      </c>
      <c r="S33" t="s">
        <v>30</v>
      </c>
      <c r="T33" t="s">
        <v>180</v>
      </c>
      <c r="U33" t="s">
        <v>30</v>
      </c>
    </row>
    <row r="34" spans="1:21" x14ac:dyDescent="0.3">
      <c r="A34">
        <v>2025</v>
      </c>
      <c r="B34">
        <v>6</v>
      </c>
      <c r="C34" t="s">
        <v>24</v>
      </c>
      <c r="D34" t="s">
        <v>35</v>
      </c>
      <c r="E34" t="s">
        <v>26</v>
      </c>
      <c r="F34" t="s">
        <v>27</v>
      </c>
      <c r="G34" t="s">
        <v>26</v>
      </c>
      <c r="H34">
        <v>2</v>
      </c>
      <c r="I34" t="s">
        <v>28</v>
      </c>
      <c r="J34">
        <v>0</v>
      </c>
      <c r="K34">
        <v>3</v>
      </c>
      <c r="L34">
        <v>0</v>
      </c>
      <c r="M34">
        <v>0</v>
      </c>
      <c r="N34">
        <v>0</v>
      </c>
      <c r="O34">
        <v>3</v>
      </c>
      <c r="P34" t="s">
        <v>29</v>
      </c>
      <c r="R34" t="s">
        <v>36</v>
      </c>
      <c r="S34" t="s">
        <v>30</v>
      </c>
      <c r="T34" t="s">
        <v>181</v>
      </c>
      <c r="U34" t="s">
        <v>30</v>
      </c>
    </row>
    <row r="35" spans="1:21" x14ac:dyDescent="0.3">
      <c r="A35">
        <v>2025</v>
      </c>
      <c r="B35">
        <v>7</v>
      </c>
      <c r="C35" t="s">
        <v>24</v>
      </c>
      <c r="D35" t="s">
        <v>37</v>
      </c>
      <c r="E35" t="s">
        <v>26</v>
      </c>
      <c r="F35" t="s">
        <v>27</v>
      </c>
      <c r="G35" t="s">
        <v>26</v>
      </c>
      <c r="H35">
        <v>2</v>
      </c>
      <c r="I35" t="s">
        <v>28</v>
      </c>
      <c r="J35">
        <v>0</v>
      </c>
      <c r="K35">
        <v>3</v>
      </c>
      <c r="L35">
        <v>0</v>
      </c>
      <c r="M35">
        <v>0</v>
      </c>
      <c r="N35">
        <v>0</v>
      </c>
      <c r="O35">
        <v>3</v>
      </c>
      <c r="P35" t="s">
        <v>29</v>
      </c>
      <c r="R35" t="s">
        <v>38</v>
      </c>
      <c r="S35" t="s">
        <v>30</v>
      </c>
      <c r="T35" t="s">
        <v>182</v>
      </c>
      <c r="U35" t="s">
        <v>30</v>
      </c>
    </row>
    <row r="36" spans="1:21" x14ac:dyDescent="0.3">
      <c r="A36">
        <v>2025</v>
      </c>
      <c r="B36">
        <v>8</v>
      </c>
      <c r="C36" t="s">
        <v>24</v>
      </c>
      <c r="D36" t="s">
        <v>39</v>
      </c>
      <c r="E36" t="s">
        <v>26</v>
      </c>
      <c r="F36" t="s">
        <v>27</v>
      </c>
      <c r="G36" t="s">
        <v>26</v>
      </c>
      <c r="H36">
        <v>2</v>
      </c>
      <c r="I36" t="s">
        <v>28</v>
      </c>
      <c r="J36">
        <v>0</v>
      </c>
      <c r="K36">
        <v>3</v>
      </c>
      <c r="L36">
        <v>0</v>
      </c>
      <c r="M36">
        <v>0</v>
      </c>
      <c r="N36">
        <v>0</v>
      </c>
      <c r="O36">
        <v>3</v>
      </c>
      <c r="P36" t="s">
        <v>29</v>
      </c>
      <c r="R36" t="s">
        <v>40</v>
      </c>
      <c r="S36" t="s">
        <v>30</v>
      </c>
      <c r="T36" t="s">
        <v>183</v>
      </c>
      <c r="U36" t="s">
        <v>30</v>
      </c>
    </row>
    <row r="37" spans="1:21" x14ac:dyDescent="0.3">
      <c r="A37">
        <v>2025</v>
      </c>
      <c r="B37">
        <v>9</v>
      </c>
      <c r="C37" t="s">
        <v>24</v>
      </c>
      <c r="D37" t="s">
        <v>41</v>
      </c>
      <c r="E37" t="s">
        <v>26</v>
      </c>
      <c r="F37" t="s">
        <v>28</v>
      </c>
      <c r="G37" t="s">
        <v>26</v>
      </c>
      <c r="H37">
        <v>2</v>
      </c>
      <c r="I37" t="s">
        <v>28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29</v>
      </c>
      <c r="Q37" t="s">
        <v>42</v>
      </c>
      <c r="R37" t="s">
        <v>43</v>
      </c>
      <c r="S37" t="s">
        <v>30</v>
      </c>
      <c r="T37" t="s">
        <v>183</v>
      </c>
      <c r="U37" t="s">
        <v>30</v>
      </c>
    </row>
    <row r="38" spans="1:21" x14ac:dyDescent="0.3">
      <c r="A38">
        <v>2025</v>
      </c>
      <c r="B38">
        <v>10</v>
      </c>
      <c r="C38" t="s">
        <v>24</v>
      </c>
      <c r="D38" t="s">
        <v>44</v>
      </c>
      <c r="E38" t="s">
        <v>26</v>
      </c>
      <c r="F38" t="s">
        <v>27</v>
      </c>
      <c r="G38" t="s">
        <v>26</v>
      </c>
      <c r="H38">
        <v>2</v>
      </c>
      <c r="I38" t="s">
        <v>28</v>
      </c>
      <c r="J38">
        <v>0</v>
      </c>
      <c r="K38">
        <v>3</v>
      </c>
      <c r="L38">
        <v>0</v>
      </c>
      <c r="M38">
        <v>0</v>
      </c>
      <c r="N38">
        <v>0</v>
      </c>
      <c r="O38">
        <v>3</v>
      </c>
      <c r="P38" t="s">
        <v>29</v>
      </c>
      <c r="R38" t="s">
        <v>45</v>
      </c>
      <c r="S38" t="s">
        <v>30</v>
      </c>
      <c r="T38" t="s">
        <v>184</v>
      </c>
      <c r="U38" t="s">
        <v>30</v>
      </c>
    </row>
    <row r="39" spans="1:21" x14ac:dyDescent="0.3">
      <c r="A39">
        <v>2025</v>
      </c>
      <c r="B39">
        <v>11</v>
      </c>
      <c r="C39" t="s">
        <v>24</v>
      </c>
      <c r="D39" t="s">
        <v>46</v>
      </c>
      <c r="E39" t="s">
        <v>26</v>
      </c>
      <c r="F39" t="s">
        <v>27</v>
      </c>
      <c r="G39" t="s">
        <v>26</v>
      </c>
      <c r="H39">
        <v>2</v>
      </c>
      <c r="I39" t="s">
        <v>28</v>
      </c>
      <c r="J39">
        <v>0</v>
      </c>
      <c r="K39">
        <v>3</v>
      </c>
      <c r="L39">
        <v>0</v>
      </c>
      <c r="M39">
        <v>0</v>
      </c>
      <c r="N39">
        <v>0</v>
      </c>
      <c r="O39">
        <v>3</v>
      </c>
      <c r="P39" t="s">
        <v>29</v>
      </c>
      <c r="R39" t="s">
        <v>47</v>
      </c>
      <c r="S39" t="s">
        <v>30</v>
      </c>
      <c r="T39" t="s">
        <v>185</v>
      </c>
      <c r="U39" t="s">
        <v>30</v>
      </c>
    </row>
    <row r="40" spans="1:21" x14ac:dyDescent="0.3">
      <c r="A40">
        <v>2025</v>
      </c>
      <c r="B40">
        <v>12</v>
      </c>
      <c r="C40" t="s">
        <v>24</v>
      </c>
      <c r="D40" t="s">
        <v>48</v>
      </c>
      <c r="E40" t="s">
        <v>26</v>
      </c>
      <c r="F40" t="s">
        <v>27</v>
      </c>
      <c r="G40" t="s">
        <v>26</v>
      </c>
      <c r="H40">
        <v>2</v>
      </c>
      <c r="I40" t="s">
        <v>28</v>
      </c>
      <c r="J40">
        <v>0</v>
      </c>
      <c r="K40">
        <v>3</v>
      </c>
      <c r="L40">
        <v>0</v>
      </c>
      <c r="M40">
        <v>0</v>
      </c>
      <c r="N40">
        <v>0</v>
      </c>
      <c r="O40">
        <v>3</v>
      </c>
      <c r="P40" t="s">
        <v>29</v>
      </c>
      <c r="R40" t="s">
        <v>49</v>
      </c>
      <c r="S40" t="s">
        <v>30</v>
      </c>
      <c r="T40" t="s">
        <v>186</v>
      </c>
      <c r="U40" t="s">
        <v>30</v>
      </c>
    </row>
    <row r="41" spans="1:21" x14ac:dyDescent="0.3">
      <c r="A41">
        <v>2025</v>
      </c>
      <c r="B41">
        <v>13</v>
      </c>
      <c r="C41" t="s">
        <v>24</v>
      </c>
      <c r="D41" t="s">
        <v>50</v>
      </c>
      <c r="E41" t="s">
        <v>26</v>
      </c>
      <c r="F41" t="s">
        <v>27</v>
      </c>
      <c r="G41" t="s">
        <v>26</v>
      </c>
      <c r="H41">
        <v>2</v>
      </c>
      <c r="I41" t="s">
        <v>28</v>
      </c>
      <c r="J41">
        <v>0</v>
      </c>
      <c r="K41">
        <v>3</v>
      </c>
      <c r="L41">
        <v>0</v>
      </c>
      <c r="M41">
        <v>0</v>
      </c>
      <c r="N41">
        <v>0</v>
      </c>
      <c r="O41">
        <v>3</v>
      </c>
      <c r="P41" t="s">
        <v>29</v>
      </c>
      <c r="R41" t="s">
        <v>51</v>
      </c>
      <c r="S41" t="s">
        <v>30</v>
      </c>
      <c r="T41" t="s">
        <v>187</v>
      </c>
      <c r="U41" t="s">
        <v>30</v>
      </c>
    </row>
    <row r="42" spans="1:21" x14ac:dyDescent="0.3">
      <c r="A42">
        <v>2025</v>
      </c>
      <c r="B42">
        <v>14</v>
      </c>
      <c r="C42" t="s">
        <v>24</v>
      </c>
      <c r="D42" t="s">
        <v>52</v>
      </c>
      <c r="E42" t="s">
        <v>26</v>
      </c>
      <c r="F42" t="s">
        <v>28</v>
      </c>
      <c r="G42" t="s">
        <v>26</v>
      </c>
      <c r="H42">
        <v>2</v>
      </c>
      <c r="I42" t="s">
        <v>28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 t="s">
        <v>42</v>
      </c>
      <c r="R42" t="s">
        <v>53</v>
      </c>
      <c r="S42" t="s">
        <v>30</v>
      </c>
      <c r="T42" t="s">
        <v>188</v>
      </c>
      <c r="U42" t="s">
        <v>30</v>
      </c>
    </row>
    <row r="43" spans="1:21" x14ac:dyDescent="0.3">
      <c r="A43">
        <v>2025</v>
      </c>
      <c r="B43">
        <v>15</v>
      </c>
      <c r="C43" t="s">
        <v>24</v>
      </c>
      <c r="D43" t="s">
        <v>54</v>
      </c>
      <c r="E43" t="s">
        <v>26</v>
      </c>
      <c r="F43" t="s">
        <v>55</v>
      </c>
      <c r="G43" t="s">
        <v>26</v>
      </c>
      <c r="H43">
        <v>2</v>
      </c>
      <c r="I43" t="s">
        <v>28</v>
      </c>
      <c r="J43">
        <v>0</v>
      </c>
      <c r="K43">
        <v>1</v>
      </c>
      <c r="L43">
        <v>0</v>
      </c>
      <c r="M43">
        <v>0</v>
      </c>
      <c r="N43">
        <v>0</v>
      </c>
      <c r="O43">
        <v>1</v>
      </c>
      <c r="P43" t="s">
        <v>29</v>
      </c>
      <c r="R43" t="s">
        <v>56</v>
      </c>
      <c r="S43" t="s">
        <v>30</v>
      </c>
      <c r="T43" t="s">
        <v>189</v>
      </c>
      <c r="U43" t="s">
        <v>30</v>
      </c>
    </row>
    <row r="44" spans="1:21" x14ac:dyDescent="0.3">
      <c r="A44">
        <v>2025</v>
      </c>
      <c r="B44">
        <v>16</v>
      </c>
      <c r="C44" t="s">
        <v>24</v>
      </c>
      <c r="D44" t="s">
        <v>57</v>
      </c>
      <c r="E44" t="s">
        <v>26</v>
      </c>
      <c r="F44" t="s">
        <v>55</v>
      </c>
      <c r="G44" t="s">
        <v>26</v>
      </c>
      <c r="H44">
        <v>2</v>
      </c>
      <c r="I44" t="s">
        <v>28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 t="s">
        <v>29</v>
      </c>
      <c r="R44" t="s">
        <v>58</v>
      </c>
      <c r="S44" t="s">
        <v>30</v>
      </c>
      <c r="T44" t="s">
        <v>190</v>
      </c>
      <c r="U44" t="s">
        <v>30</v>
      </c>
    </row>
    <row r="45" spans="1:21" x14ac:dyDescent="0.3">
      <c r="A45">
        <v>2025</v>
      </c>
      <c r="B45">
        <v>17</v>
      </c>
      <c r="C45" t="s">
        <v>24</v>
      </c>
      <c r="D45" t="s">
        <v>59</v>
      </c>
      <c r="E45" t="s">
        <v>26</v>
      </c>
      <c r="F45" t="s">
        <v>27</v>
      </c>
      <c r="G45" t="s">
        <v>26</v>
      </c>
      <c r="H45">
        <v>2</v>
      </c>
      <c r="I45" t="s">
        <v>28</v>
      </c>
      <c r="J45">
        <v>0</v>
      </c>
      <c r="K45">
        <v>3</v>
      </c>
      <c r="L45">
        <v>0</v>
      </c>
      <c r="M45">
        <v>0</v>
      </c>
      <c r="N45">
        <v>0</v>
      </c>
      <c r="O45">
        <v>3</v>
      </c>
      <c r="P45" t="s">
        <v>29</v>
      </c>
      <c r="R45" t="s">
        <v>60</v>
      </c>
      <c r="S45" t="s">
        <v>30</v>
      </c>
      <c r="T45" t="s">
        <v>191</v>
      </c>
      <c r="U45" t="s">
        <v>30</v>
      </c>
    </row>
    <row r="46" spans="1:21" x14ac:dyDescent="0.3">
      <c r="A46">
        <v>2025</v>
      </c>
      <c r="B46">
        <v>18</v>
      </c>
      <c r="C46" t="s">
        <v>24</v>
      </c>
      <c r="D46" t="s">
        <v>61</v>
      </c>
      <c r="E46" t="s">
        <v>26</v>
      </c>
      <c r="F46" t="s">
        <v>27</v>
      </c>
      <c r="G46" t="s">
        <v>26</v>
      </c>
      <c r="H46">
        <v>2</v>
      </c>
      <c r="I46" t="s">
        <v>28</v>
      </c>
      <c r="J46">
        <v>0</v>
      </c>
      <c r="K46">
        <v>3</v>
      </c>
      <c r="L46">
        <v>0</v>
      </c>
      <c r="M46">
        <v>0</v>
      </c>
      <c r="N46">
        <v>0</v>
      </c>
      <c r="O46">
        <v>3</v>
      </c>
      <c r="P46" t="s">
        <v>29</v>
      </c>
      <c r="Q46" t="s">
        <v>42</v>
      </c>
      <c r="R46" t="s">
        <v>62</v>
      </c>
      <c r="S46" t="s">
        <v>30</v>
      </c>
      <c r="T46" t="s">
        <v>192</v>
      </c>
      <c r="U46" t="s">
        <v>30</v>
      </c>
    </row>
    <row r="47" spans="1:21" x14ac:dyDescent="0.3">
      <c r="A47">
        <v>2025</v>
      </c>
      <c r="B47">
        <v>19</v>
      </c>
      <c r="C47" t="s">
        <v>24</v>
      </c>
      <c r="D47" t="s">
        <v>63</v>
      </c>
      <c r="E47" t="s">
        <v>26</v>
      </c>
      <c r="F47" t="s">
        <v>27</v>
      </c>
      <c r="G47" t="s">
        <v>26</v>
      </c>
      <c r="H47">
        <v>2</v>
      </c>
      <c r="I47" t="s">
        <v>28</v>
      </c>
      <c r="J47">
        <v>0</v>
      </c>
      <c r="K47">
        <v>3</v>
      </c>
      <c r="L47">
        <v>0</v>
      </c>
      <c r="M47">
        <v>0</v>
      </c>
      <c r="N47">
        <v>0</v>
      </c>
      <c r="O47">
        <v>3</v>
      </c>
      <c r="P47" t="s">
        <v>29</v>
      </c>
      <c r="R47" t="s">
        <v>64</v>
      </c>
      <c r="S47" t="s">
        <v>30</v>
      </c>
      <c r="T47" t="s">
        <v>193</v>
      </c>
      <c r="U47" t="s">
        <v>30</v>
      </c>
    </row>
    <row r="48" spans="1:21" x14ac:dyDescent="0.3">
      <c r="A48">
        <v>2025</v>
      </c>
      <c r="B48">
        <v>20</v>
      </c>
      <c r="C48" t="s">
        <v>24</v>
      </c>
      <c r="D48" t="s">
        <v>65</v>
      </c>
      <c r="E48" t="s">
        <v>26</v>
      </c>
      <c r="F48" t="s">
        <v>55</v>
      </c>
      <c r="G48" t="s">
        <v>26</v>
      </c>
      <c r="H48">
        <v>2</v>
      </c>
      <c r="I48" t="s">
        <v>28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 t="s">
        <v>29</v>
      </c>
      <c r="R48" t="s">
        <v>66</v>
      </c>
      <c r="S48" t="s">
        <v>30</v>
      </c>
      <c r="T48" t="s">
        <v>194</v>
      </c>
      <c r="U48" t="s">
        <v>30</v>
      </c>
    </row>
    <row r="49" spans="1:21" x14ac:dyDescent="0.3">
      <c r="A49">
        <v>2025</v>
      </c>
      <c r="B49">
        <v>21</v>
      </c>
      <c r="C49" t="s">
        <v>24</v>
      </c>
      <c r="D49" t="s">
        <v>67</v>
      </c>
      <c r="E49" t="s">
        <v>26</v>
      </c>
      <c r="F49" t="s">
        <v>28</v>
      </c>
      <c r="G49" t="s">
        <v>26</v>
      </c>
      <c r="H49">
        <v>2</v>
      </c>
      <c r="I49" t="s">
        <v>28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  <c r="Q49" t="s">
        <v>42</v>
      </c>
      <c r="R49" t="s">
        <v>68</v>
      </c>
      <c r="S49" t="s">
        <v>30</v>
      </c>
      <c r="T49" t="s">
        <v>195</v>
      </c>
      <c r="U49" t="s">
        <v>30</v>
      </c>
    </row>
    <row r="50" spans="1:21" x14ac:dyDescent="0.3">
      <c r="A50">
        <v>2025</v>
      </c>
      <c r="B50">
        <v>22</v>
      </c>
      <c r="C50" t="s">
        <v>24</v>
      </c>
      <c r="D50" t="s">
        <v>69</v>
      </c>
      <c r="E50" t="s">
        <v>26</v>
      </c>
      <c r="F50" t="s">
        <v>28</v>
      </c>
      <c r="G50" t="s">
        <v>26</v>
      </c>
      <c r="H50">
        <v>2</v>
      </c>
      <c r="I50" t="s">
        <v>28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 t="s">
        <v>42</v>
      </c>
      <c r="R50" t="s">
        <v>70</v>
      </c>
      <c r="S50" t="s">
        <v>30</v>
      </c>
      <c r="T50" t="s">
        <v>196</v>
      </c>
      <c r="U50" t="s">
        <v>30</v>
      </c>
    </row>
    <row r="51" spans="1:21" x14ac:dyDescent="0.3">
      <c r="A51">
        <v>2025</v>
      </c>
      <c r="B51">
        <v>23</v>
      </c>
      <c r="C51" t="s">
        <v>24</v>
      </c>
      <c r="D51" t="s">
        <v>71</v>
      </c>
      <c r="E51" t="s">
        <v>26</v>
      </c>
      <c r="F51" t="s">
        <v>27</v>
      </c>
      <c r="G51" t="s">
        <v>26</v>
      </c>
      <c r="H51">
        <v>2</v>
      </c>
      <c r="I51" t="s">
        <v>28</v>
      </c>
      <c r="J51">
        <v>0</v>
      </c>
      <c r="K51">
        <v>3</v>
      </c>
      <c r="L51">
        <v>0</v>
      </c>
      <c r="M51">
        <v>0</v>
      </c>
      <c r="N51">
        <v>0</v>
      </c>
      <c r="O51">
        <v>3</v>
      </c>
      <c r="P51" t="s">
        <v>29</v>
      </c>
      <c r="R51" t="s">
        <v>72</v>
      </c>
      <c r="S51" t="s">
        <v>30</v>
      </c>
      <c r="T51" t="s">
        <v>197</v>
      </c>
      <c r="U51" t="s">
        <v>30</v>
      </c>
    </row>
    <row r="52" spans="1:21" x14ac:dyDescent="0.3">
      <c r="A52">
        <v>2025</v>
      </c>
      <c r="B52">
        <v>24</v>
      </c>
      <c r="C52" t="s">
        <v>24</v>
      </c>
      <c r="D52" t="s">
        <v>73</v>
      </c>
      <c r="E52" t="s">
        <v>26</v>
      </c>
      <c r="F52" t="s">
        <v>27</v>
      </c>
      <c r="G52" t="s">
        <v>26</v>
      </c>
      <c r="H52">
        <v>2</v>
      </c>
      <c r="I52" t="s">
        <v>28</v>
      </c>
      <c r="J52">
        <v>0</v>
      </c>
      <c r="K52">
        <v>3</v>
      </c>
      <c r="L52">
        <v>0</v>
      </c>
      <c r="M52">
        <v>0</v>
      </c>
      <c r="N52">
        <v>0</v>
      </c>
      <c r="O52">
        <v>3</v>
      </c>
      <c r="P52" t="s">
        <v>29</v>
      </c>
      <c r="R52" t="s">
        <v>74</v>
      </c>
      <c r="S52" t="s">
        <v>30</v>
      </c>
      <c r="T52" t="s">
        <v>198</v>
      </c>
      <c r="U52" t="s">
        <v>30</v>
      </c>
    </row>
    <row r="53" spans="1:21" x14ac:dyDescent="0.3">
      <c r="A53">
        <v>2025</v>
      </c>
      <c r="B53">
        <v>25</v>
      </c>
      <c r="C53" t="s">
        <v>24</v>
      </c>
      <c r="D53" t="s">
        <v>75</v>
      </c>
      <c r="E53" t="s">
        <v>26</v>
      </c>
      <c r="F53" t="s">
        <v>27</v>
      </c>
      <c r="G53" t="s">
        <v>26</v>
      </c>
      <c r="H53">
        <v>2</v>
      </c>
      <c r="I53" t="s">
        <v>28</v>
      </c>
      <c r="J53">
        <v>0</v>
      </c>
      <c r="K53">
        <v>3</v>
      </c>
      <c r="L53">
        <v>0</v>
      </c>
      <c r="M53">
        <v>0</v>
      </c>
      <c r="N53">
        <v>0</v>
      </c>
      <c r="O53">
        <v>3</v>
      </c>
      <c r="P53" t="s">
        <v>29</v>
      </c>
      <c r="R53" t="s">
        <v>76</v>
      </c>
      <c r="S53" t="s">
        <v>30</v>
      </c>
      <c r="T53" t="s">
        <v>199</v>
      </c>
      <c r="U53" t="s">
        <v>30</v>
      </c>
    </row>
    <row r="54" spans="1:21" x14ac:dyDescent="0.3">
      <c r="A54">
        <v>2025</v>
      </c>
      <c r="B54">
        <v>26</v>
      </c>
      <c r="C54" t="s">
        <v>24</v>
      </c>
      <c r="D54" t="s">
        <v>77</v>
      </c>
      <c r="E54" t="s">
        <v>26</v>
      </c>
      <c r="F54" t="s">
        <v>27</v>
      </c>
      <c r="G54" t="s">
        <v>26</v>
      </c>
      <c r="H54">
        <v>2</v>
      </c>
      <c r="I54" t="s">
        <v>28</v>
      </c>
      <c r="J54">
        <v>0</v>
      </c>
      <c r="K54">
        <v>3</v>
      </c>
      <c r="L54">
        <v>0</v>
      </c>
      <c r="M54">
        <v>0</v>
      </c>
      <c r="N54">
        <v>0</v>
      </c>
      <c r="O54">
        <v>3</v>
      </c>
      <c r="P54" t="s">
        <v>29</v>
      </c>
      <c r="R54" t="s">
        <v>78</v>
      </c>
      <c r="T54" t="s">
        <v>200</v>
      </c>
    </row>
    <row r="55" spans="1:21" x14ac:dyDescent="0.3">
      <c r="A55">
        <v>2025</v>
      </c>
      <c r="B55">
        <v>27</v>
      </c>
      <c r="C55" t="s">
        <v>24</v>
      </c>
      <c r="D55" t="s">
        <v>79</v>
      </c>
      <c r="E55" t="s">
        <v>26</v>
      </c>
      <c r="F55" t="s">
        <v>27</v>
      </c>
      <c r="G55" t="s">
        <v>26</v>
      </c>
      <c r="H55">
        <v>2</v>
      </c>
      <c r="I55" t="s">
        <v>28</v>
      </c>
      <c r="J55">
        <v>0</v>
      </c>
      <c r="K55">
        <v>3</v>
      </c>
      <c r="L55">
        <v>0</v>
      </c>
      <c r="M55">
        <v>0</v>
      </c>
      <c r="N55">
        <v>0</v>
      </c>
      <c r="O55">
        <v>3</v>
      </c>
      <c r="P55" t="s">
        <v>29</v>
      </c>
      <c r="R55" t="s">
        <v>80</v>
      </c>
      <c r="T55" t="s">
        <v>201</v>
      </c>
    </row>
  </sheetData>
  <phoneticPr fontId="3" type="noConversion"/>
  <pageMargins left="0.7" right="0.7" top="0.75" bottom="0.75" header="0.3" footer="0.3"/>
  <ignoredErrors>
    <ignoredError sqref="E1:U1 B3:U4 E2:U2 C7:G28 C5:G5 I5 I6:I28 C6:G6 P5:U5 P6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0D54-8318-4BE2-8CD2-61DDACF2D1A5}">
  <sheetPr>
    <pageSetUpPr fitToPage="1"/>
  </sheetPr>
  <dimension ref="A2:S32"/>
  <sheetViews>
    <sheetView view="pageBreakPreview" zoomScaleNormal="100" zoomScaleSheetLayoutView="100" workbookViewId="0">
      <selection activeCell="P21" sqref="P21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153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9" t="s">
        <v>154</v>
      </c>
      <c r="B4" s="11"/>
      <c r="C4" s="9" t="s">
        <v>155</v>
      </c>
      <c r="D4" s="11"/>
      <c r="E4" s="9" t="s">
        <v>156</v>
      </c>
      <c r="F4" s="11"/>
      <c r="G4" s="9" t="s">
        <v>157</v>
      </c>
      <c r="H4" s="10"/>
      <c r="I4" s="11"/>
      <c r="J4" s="9" t="s">
        <v>158</v>
      </c>
      <c r="K4" s="10"/>
      <c r="L4" s="11"/>
      <c r="M4" s="9" t="s">
        <v>159</v>
      </c>
      <c r="N4" s="10"/>
      <c r="O4" s="10"/>
      <c r="P4" s="11"/>
    </row>
    <row r="5" spans="1:19" x14ac:dyDescent="0.3">
      <c r="A5" s="9" t="s">
        <v>170</v>
      </c>
      <c r="B5" s="11"/>
      <c r="C5" s="9" t="str">
        <f>RawData!C2</f>
        <v>강남구</v>
      </c>
      <c r="D5" s="11"/>
      <c r="E5" s="9" t="s">
        <v>160</v>
      </c>
      <c r="F5" s="11"/>
      <c r="G5" s="9" t="s">
        <v>161</v>
      </c>
      <c r="H5" s="10"/>
      <c r="I5" s="11"/>
      <c r="J5" s="9" t="str">
        <f>RawData!B2</f>
        <v>새서울철도㈜</v>
      </c>
      <c r="K5" s="10"/>
      <c r="L5" s="11"/>
      <c r="M5" s="9" t="s">
        <v>162</v>
      </c>
      <c r="N5" s="10"/>
      <c r="O5" s="10"/>
      <c r="P5" s="11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12" t="s">
        <v>4</v>
      </c>
      <c r="B7" s="12" t="s">
        <v>5</v>
      </c>
      <c r="C7" s="12" t="s">
        <v>6</v>
      </c>
      <c r="D7" s="14" t="s">
        <v>163</v>
      </c>
      <c r="E7" s="10"/>
      <c r="F7" s="10"/>
      <c r="G7" s="10"/>
      <c r="H7" s="11"/>
      <c r="I7" s="14" t="s">
        <v>164</v>
      </c>
      <c r="J7" s="10"/>
      <c r="K7" s="10"/>
      <c r="L7" s="10"/>
      <c r="M7" s="11"/>
      <c r="N7" s="12" t="s">
        <v>17</v>
      </c>
      <c r="O7" s="12" t="s">
        <v>18</v>
      </c>
      <c r="P7" s="12" t="s">
        <v>165</v>
      </c>
    </row>
    <row r="8" spans="1:19" s="5" customFormat="1" ht="24.75" customHeight="1" x14ac:dyDescent="0.3">
      <c r="A8" s="13"/>
      <c r="B8" s="13"/>
      <c r="C8" s="13"/>
      <c r="D8" s="4" t="s">
        <v>7</v>
      </c>
      <c r="E8" s="4" t="s">
        <v>8</v>
      </c>
      <c r="F8" s="4" t="s">
        <v>9</v>
      </c>
      <c r="G8" s="4" t="s">
        <v>10</v>
      </c>
      <c r="H8" s="4" t="s">
        <v>166</v>
      </c>
      <c r="I8" s="4" t="s">
        <v>167</v>
      </c>
      <c r="J8" s="4" t="s">
        <v>8</v>
      </c>
      <c r="K8" s="4" t="s">
        <v>9</v>
      </c>
      <c r="L8" s="4" t="s">
        <v>168</v>
      </c>
      <c r="M8" s="4" t="s">
        <v>16</v>
      </c>
      <c r="N8" s="13"/>
      <c r="O8" s="13"/>
      <c r="P8" s="13"/>
      <c r="Q8" s="3"/>
      <c r="R8" s="3"/>
      <c r="S8" s="3"/>
    </row>
    <row r="9" spans="1:19" x14ac:dyDescent="0.3">
      <c r="A9" s="6" t="str">
        <f>RIGHT(RawData!B5,2)</f>
        <v>1</v>
      </c>
      <c r="B9" s="6" t="str">
        <f>RawData!C5</f>
        <v>강남대로</v>
      </c>
      <c r="C9" s="6" t="str">
        <f>RawData!D5</f>
        <v>26-강남구-01</v>
      </c>
      <c r="D9" s="6" t="str">
        <f>RawData!E5</f>
        <v>양호</v>
      </c>
      <c r="E9" s="6" t="str">
        <f>RawData!F5</f>
        <v>거북등</v>
      </c>
      <c r="F9" s="6" t="str">
        <f>RawData!G5</f>
        <v>양호</v>
      </c>
      <c r="G9" s="6">
        <f>RawData!H5</f>
        <v>4</v>
      </c>
      <c r="H9" s="6" t="str">
        <f>RawData!I5</f>
        <v>-</v>
      </c>
      <c r="I9" s="6">
        <f>IF(D9="양호",0,IF(D9="보통",3,IF(D9="불량",9)))</f>
        <v>0</v>
      </c>
      <c r="J9" s="6">
        <f t="shared" ref="J9:J32" si="0">IF(E9="거북등",3,IF(RIGHT(E9,2)="균열",1,IF(E9="-",0)))</f>
        <v>3</v>
      </c>
      <c r="K9" s="6">
        <f t="shared" ref="K9:K32" si="1">IF(F9="유출",9,IF(F9="습윤",1,IF(F9="양호",0,IF(F9="건조",0))))</f>
        <v>0</v>
      </c>
      <c r="L9" s="6">
        <f>IF(G9&gt;=30,2,IF(G9&gt;=10,1,0))</f>
        <v>0</v>
      </c>
      <c r="M9" s="6">
        <f t="shared" ref="M9:M32" si="2">IF(H9="-",0,1)</f>
        <v>0</v>
      </c>
      <c r="N9" s="6">
        <f t="shared" ref="N9:N32" si="3">SUM(I9:M9)</f>
        <v>3</v>
      </c>
      <c r="O9" s="6" t="str">
        <f t="shared" ref="O9:O32" si="4">IF(N9&lt;6,"일반",IF(N9&lt;9,"우선",IF(N9&gt;=9,"긴급")))</f>
        <v>일반</v>
      </c>
      <c r="P9" s="7" t="str">
        <f>RawData!Q5</f>
        <v>-</v>
      </c>
    </row>
    <row r="10" spans="1:19" x14ac:dyDescent="0.3">
      <c r="A10" s="6" t="str">
        <f>RIGHT(RawData!B6,2)</f>
        <v>2</v>
      </c>
      <c r="B10" s="6" t="str">
        <f>RawData!C6</f>
        <v>강남대로</v>
      </c>
      <c r="C10" s="6" t="str">
        <f>RawData!D6</f>
        <v>26-강남구-02</v>
      </c>
      <c r="D10" s="6" t="str">
        <f>RawData!E6</f>
        <v>양호</v>
      </c>
      <c r="E10" s="6" t="str">
        <f>RawData!F6</f>
        <v>거북등</v>
      </c>
      <c r="F10" s="6" t="str">
        <f>RawData!G6</f>
        <v>양호</v>
      </c>
      <c r="G10" s="6">
        <f>RawData!H6</f>
        <v>4</v>
      </c>
      <c r="H10" s="6" t="str">
        <f>RawData!I6</f>
        <v>-</v>
      </c>
      <c r="I10" s="6">
        <f t="shared" ref="I10:I32" si="5">IF(D10="양호",0,IF(D10="보통",3,IF(D10="불량",9)))</f>
        <v>0</v>
      </c>
      <c r="J10" s="6">
        <f t="shared" si="0"/>
        <v>3</v>
      </c>
      <c r="K10" s="6">
        <f t="shared" si="1"/>
        <v>0</v>
      </c>
      <c r="L10" s="6">
        <f t="shared" ref="L10:L32" si="6">IF(G10&gt;=30,2,IF(G10&gt;=10,1,0))</f>
        <v>0</v>
      </c>
      <c r="M10" s="6">
        <f t="shared" si="2"/>
        <v>0</v>
      </c>
      <c r="N10" s="6">
        <f t="shared" si="3"/>
        <v>3</v>
      </c>
      <c r="O10" s="6" t="str">
        <f t="shared" si="4"/>
        <v>일반</v>
      </c>
      <c r="P10" s="7" t="str">
        <f>RawData!Q6</f>
        <v>-</v>
      </c>
    </row>
    <row r="11" spans="1:19" x14ac:dyDescent="0.3">
      <c r="A11" s="6" t="str">
        <f>RIGHT(RawData!B7,2)</f>
        <v>3</v>
      </c>
      <c r="B11" s="6" t="str">
        <f>RawData!C7</f>
        <v>강남대로</v>
      </c>
      <c r="C11" s="6" t="str">
        <f>RawData!D7</f>
        <v>26-강남구-03</v>
      </c>
      <c r="D11" s="6" t="str">
        <f>RawData!E7</f>
        <v>양호</v>
      </c>
      <c r="E11" s="6" t="str">
        <f>RawData!F7</f>
        <v>거북등</v>
      </c>
      <c r="F11" s="6" t="str">
        <f>RawData!G7</f>
        <v>양호</v>
      </c>
      <c r="G11" s="6">
        <f>RawData!H7</f>
        <v>4</v>
      </c>
      <c r="H11" s="6" t="str">
        <f>RawData!I7</f>
        <v>-</v>
      </c>
      <c r="I11" s="6">
        <f t="shared" si="5"/>
        <v>0</v>
      </c>
      <c r="J11" s="6">
        <f t="shared" si="0"/>
        <v>3</v>
      </c>
      <c r="K11" s="6">
        <f t="shared" si="1"/>
        <v>0</v>
      </c>
      <c r="L11" s="6">
        <f t="shared" si="6"/>
        <v>0</v>
      </c>
      <c r="M11" s="6">
        <f t="shared" si="2"/>
        <v>0</v>
      </c>
      <c r="N11" s="6">
        <f t="shared" si="3"/>
        <v>3</v>
      </c>
      <c r="O11" s="6" t="str">
        <f t="shared" si="4"/>
        <v>일반</v>
      </c>
      <c r="P11" s="7" t="str">
        <f>RawData!Q7</f>
        <v>-</v>
      </c>
    </row>
    <row r="12" spans="1:19" x14ac:dyDescent="0.3">
      <c r="A12" s="6" t="str">
        <f>RIGHT(RawData!B8,2)</f>
        <v>4</v>
      </c>
      <c r="B12" s="6" t="str">
        <f>RawData!C8</f>
        <v>강남대로</v>
      </c>
      <c r="C12" s="6" t="str">
        <f>RawData!D8</f>
        <v>26-강남구-04</v>
      </c>
      <c r="D12" s="6" t="str">
        <f>RawData!E8</f>
        <v>양호</v>
      </c>
      <c r="E12" s="6" t="str">
        <f>RawData!F8</f>
        <v>거북등</v>
      </c>
      <c r="F12" s="6" t="str">
        <f>RawData!G8</f>
        <v>양호</v>
      </c>
      <c r="G12" s="6">
        <f>RawData!H8</f>
        <v>4</v>
      </c>
      <c r="H12" s="6" t="str">
        <f>RawData!I8</f>
        <v>-</v>
      </c>
      <c r="I12" s="6">
        <f t="shared" si="5"/>
        <v>0</v>
      </c>
      <c r="J12" s="6">
        <f t="shared" si="0"/>
        <v>3</v>
      </c>
      <c r="K12" s="6">
        <f t="shared" si="1"/>
        <v>0</v>
      </c>
      <c r="L12" s="6">
        <f t="shared" si="6"/>
        <v>0</v>
      </c>
      <c r="M12" s="6">
        <f t="shared" si="2"/>
        <v>0</v>
      </c>
      <c r="N12" s="6">
        <f t="shared" si="3"/>
        <v>3</v>
      </c>
      <c r="O12" s="6" t="str">
        <f t="shared" si="4"/>
        <v>일반</v>
      </c>
      <c r="P12" s="7" t="str">
        <f>RawData!Q8</f>
        <v>-</v>
      </c>
    </row>
    <row r="13" spans="1:19" x14ac:dyDescent="0.3">
      <c r="A13" s="6" t="str">
        <f>RIGHT(RawData!B9,2)</f>
        <v>5</v>
      </c>
      <c r="B13" s="6" t="str">
        <f>RawData!C9</f>
        <v>강남대로</v>
      </c>
      <c r="C13" s="6" t="str">
        <f>RawData!D9</f>
        <v>26-강남구-05</v>
      </c>
      <c r="D13" s="6" t="str">
        <f>RawData!E9</f>
        <v>양호</v>
      </c>
      <c r="E13" s="6" t="str">
        <f>RawData!F9</f>
        <v>거북등</v>
      </c>
      <c r="F13" s="6" t="str">
        <f>RawData!G9</f>
        <v>양호</v>
      </c>
      <c r="G13" s="6">
        <f>RawData!H9</f>
        <v>4</v>
      </c>
      <c r="H13" s="6" t="str">
        <f>RawData!I9</f>
        <v>-</v>
      </c>
      <c r="I13" s="6">
        <f t="shared" si="5"/>
        <v>0</v>
      </c>
      <c r="J13" s="6">
        <f t="shared" si="0"/>
        <v>3</v>
      </c>
      <c r="K13" s="6">
        <f t="shared" si="1"/>
        <v>0</v>
      </c>
      <c r="L13" s="6">
        <f t="shared" si="6"/>
        <v>0</v>
      </c>
      <c r="M13" s="6">
        <f t="shared" si="2"/>
        <v>0</v>
      </c>
      <c r="N13" s="6">
        <f t="shared" si="3"/>
        <v>3</v>
      </c>
      <c r="O13" s="6" t="str">
        <f t="shared" si="4"/>
        <v>일반</v>
      </c>
      <c r="P13" s="7" t="str">
        <f>RawData!Q9</f>
        <v>-</v>
      </c>
    </row>
    <row r="14" spans="1:19" x14ac:dyDescent="0.3">
      <c r="A14" s="6" t="str">
        <f>RIGHT(RawData!B10,2)</f>
        <v>6</v>
      </c>
      <c r="B14" s="6" t="str">
        <f>RawData!C10</f>
        <v>강남대로</v>
      </c>
      <c r="C14" s="6" t="str">
        <f>RawData!D10</f>
        <v>26-강남구-06</v>
      </c>
      <c r="D14" s="6" t="str">
        <f>RawData!E10</f>
        <v>양호</v>
      </c>
      <c r="E14" s="6" t="str">
        <f>RawData!F10</f>
        <v>거북등</v>
      </c>
      <c r="F14" s="6" t="str">
        <f>RawData!G10</f>
        <v>양호</v>
      </c>
      <c r="G14" s="6">
        <f>RawData!H10</f>
        <v>4</v>
      </c>
      <c r="H14" s="6" t="str">
        <f>RawData!I10</f>
        <v>-</v>
      </c>
      <c r="I14" s="6">
        <f t="shared" si="5"/>
        <v>0</v>
      </c>
      <c r="J14" s="6">
        <f t="shared" si="0"/>
        <v>3</v>
      </c>
      <c r="K14" s="6">
        <f t="shared" si="1"/>
        <v>0</v>
      </c>
      <c r="L14" s="6">
        <f t="shared" si="6"/>
        <v>0</v>
      </c>
      <c r="M14" s="6">
        <f t="shared" si="2"/>
        <v>0</v>
      </c>
      <c r="N14" s="6">
        <f t="shared" si="3"/>
        <v>3</v>
      </c>
      <c r="O14" s="6" t="str">
        <f t="shared" si="4"/>
        <v>일반</v>
      </c>
      <c r="P14" s="7" t="str">
        <f>RawData!Q10</f>
        <v>-</v>
      </c>
    </row>
    <row r="15" spans="1:19" x14ac:dyDescent="0.3">
      <c r="A15" s="6" t="str">
        <f>RIGHT(RawData!B11,2)</f>
        <v>7</v>
      </c>
      <c r="B15" s="6" t="str">
        <f>RawData!C11</f>
        <v>강남대로</v>
      </c>
      <c r="C15" s="6" t="str">
        <f>RawData!D11</f>
        <v>26-강남구-07</v>
      </c>
      <c r="D15" s="6" t="str">
        <f>RawData!E11</f>
        <v>양호</v>
      </c>
      <c r="E15" s="6" t="str">
        <f>RawData!F11</f>
        <v>거북등</v>
      </c>
      <c r="F15" s="6" t="str">
        <f>RawData!G11</f>
        <v>양호</v>
      </c>
      <c r="G15" s="6">
        <f>RawData!H11</f>
        <v>4</v>
      </c>
      <c r="H15" s="6" t="str">
        <f>RawData!I11</f>
        <v>-</v>
      </c>
      <c r="I15" s="6">
        <f t="shared" si="5"/>
        <v>0</v>
      </c>
      <c r="J15" s="6">
        <f t="shared" si="0"/>
        <v>3</v>
      </c>
      <c r="K15" s="6">
        <f t="shared" si="1"/>
        <v>0</v>
      </c>
      <c r="L15" s="6">
        <f t="shared" si="6"/>
        <v>0</v>
      </c>
      <c r="M15" s="6">
        <f t="shared" si="2"/>
        <v>0</v>
      </c>
      <c r="N15" s="6">
        <f t="shared" si="3"/>
        <v>3</v>
      </c>
      <c r="O15" s="6" t="str">
        <f t="shared" si="4"/>
        <v>일반</v>
      </c>
      <c r="P15" s="7" t="str">
        <f>RawData!Q11</f>
        <v>-</v>
      </c>
    </row>
    <row r="16" spans="1:19" x14ac:dyDescent="0.3">
      <c r="A16" s="6" t="str">
        <f>RIGHT(RawData!B12,2)</f>
        <v>8</v>
      </c>
      <c r="B16" s="6" t="str">
        <f>RawData!C12</f>
        <v>강남대로</v>
      </c>
      <c r="C16" s="6" t="str">
        <f>RawData!D12</f>
        <v>26-강남구-08</v>
      </c>
      <c r="D16" s="6" t="str">
        <f>RawData!E12</f>
        <v>양호</v>
      </c>
      <c r="E16" s="6" t="str">
        <f>RawData!F12</f>
        <v>거북등</v>
      </c>
      <c r="F16" s="6" t="str">
        <f>RawData!G12</f>
        <v>양호</v>
      </c>
      <c r="G16" s="6">
        <f>RawData!H12</f>
        <v>4</v>
      </c>
      <c r="H16" s="6" t="str">
        <f>RawData!I12</f>
        <v>-</v>
      </c>
      <c r="I16" s="6">
        <f t="shared" si="5"/>
        <v>0</v>
      </c>
      <c r="J16" s="6">
        <f t="shared" si="0"/>
        <v>3</v>
      </c>
      <c r="K16" s="6">
        <f t="shared" si="1"/>
        <v>0</v>
      </c>
      <c r="L16" s="6">
        <f t="shared" si="6"/>
        <v>0</v>
      </c>
      <c r="M16" s="6">
        <f t="shared" si="2"/>
        <v>0</v>
      </c>
      <c r="N16" s="6">
        <f t="shared" si="3"/>
        <v>3</v>
      </c>
      <c r="O16" s="6" t="str">
        <f t="shared" si="4"/>
        <v>일반</v>
      </c>
      <c r="P16" s="7" t="str">
        <f>RawData!Q12</f>
        <v>-</v>
      </c>
    </row>
    <row r="17" spans="1:16" x14ac:dyDescent="0.3">
      <c r="A17" s="6" t="str">
        <f>RIGHT(RawData!B13,2)</f>
        <v>9</v>
      </c>
      <c r="B17" s="6" t="str">
        <f>RawData!C13</f>
        <v>강남대로</v>
      </c>
      <c r="C17" s="6" t="str">
        <f>RawData!D13</f>
        <v>26-강남구-09</v>
      </c>
      <c r="D17" s="6" t="str">
        <f>RawData!E13</f>
        <v>양호</v>
      </c>
      <c r="E17" s="6" t="str">
        <f>RawData!F13</f>
        <v>거북등</v>
      </c>
      <c r="F17" s="6" t="str">
        <f>RawData!G13</f>
        <v>양호</v>
      </c>
      <c r="G17" s="6">
        <f>RawData!H13</f>
        <v>4</v>
      </c>
      <c r="H17" s="6" t="str">
        <f>RawData!I13</f>
        <v>-</v>
      </c>
      <c r="I17" s="6">
        <f t="shared" si="5"/>
        <v>0</v>
      </c>
      <c r="J17" s="6">
        <f t="shared" si="0"/>
        <v>3</v>
      </c>
      <c r="K17" s="6">
        <f t="shared" si="1"/>
        <v>0</v>
      </c>
      <c r="L17" s="6">
        <f t="shared" si="6"/>
        <v>0</v>
      </c>
      <c r="M17" s="6">
        <f t="shared" si="2"/>
        <v>0</v>
      </c>
      <c r="N17" s="6">
        <f t="shared" si="3"/>
        <v>3</v>
      </c>
      <c r="O17" s="6" t="str">
        <f t="shared" si="4"/>
        <v>일반</v>
      </c>
      <c r="P17" s="7" t="str">
        <f>RawData!Q13</f>
        <v>-</v>
      </c>
    </row>
    <row r="18" spans="1:16" x14ac:dyDescent="0.3">
      <c r="A18" s="6" t="str">
        <f>RIGHT(RawData!B14,2)</f>
        <v>10</v>
      </c>
      <c r="B18" s="6" t="str">
        <f>RawData!C14</f>
        <v>강남대로</v>
      </c>
      <c r="C18" s="6" t="str">
        <f>RawData!D14</f>
        <v>26-강남구-10</v>
      </c>
      <c r="D18" s="6" t="str">
        <f>RawData!E14</f>
        <v>양호</v>
      </c>
      <c r="E18" s="6" t="str">
        <f>RawData!F14</f>
        <v>종균열</v>
      </c>
      <c r="F18" s="6" t="str">
        <f>RawData!G14</f>
        <v>양호</v>
      </c>
      <c r="G18" s="6">
        <f>RawData!H14</f>
        <v>4</v>
      </c>
      <c r="H18" s="6" t="str">
        <f>RawData!I14</f>
        <v>-</v>
      </c>
      <c r="I18" s="6">
        <f t="shared" si="5"/>
        <v>0</v>
      </c>
      <c r="J18" s="6">
        <f t="shared" si="0"/>
        <v>1</v>
      </c>
      <c r="K18" s="6">
        <f t="shared" si="1"/>
        <v>0</v>
      </c>
      <c r="L18" s="6">
        <f t="shared" si="6"/>
        <v>0</v>
      </c>
      <c r="M18" s="6">
        <f t="shared" si="2"/>
        <v>0</v>
      </c>
      <c r="N18" s="6">
        <f t="shared" si="3"/>
        <v>1</v>
      </c>
      <c r="O18" s="6" t="str">
        <f t="shared" si="4"/>
        <v>일반</v>
      </c>
      <c r="P18" s="7" t="str">
        <f>RawData!Q14</f>
        <v>-</v>
      </c>
    </row>
    <row r="19" spans="1:16" x14ac:dyDescent="0.3">
      <c r="A19" s="6" t="str">
        <f>RIGHT(RawData!B15,2)</f>
        <v>11</v>
      </c>
      <c r="B19" s="6" t="str">
        <f>RawData!C15</f>
        <v>강남대로</v>
      </c>
      <c r="C19" s="6" t="str">
        <f>RawData!D15</f>
        <v>26-강남구-11</v>
      </c>
      <c r="D19" s="6" t="str">
        <f>RawData!E15</f>
        <v>양호</v>
      </c>
      <c r="E19" s="6" t="str">
        <f>RawData!F15</f>
        <v>거북등</v>
      </c>
      <c r="F19" s="6" t="str">
        <f>RawData!G15</f>
        <v>양호</v>
      </c>
      <c r="G19" s="6">
        <f>RawData!H15</f>
        <v>4</v>
      </c>
      <c r="H19" s="6" t="str">
        <f>RawData!I15</f>
        <v>-</v>
      </c>
      <c r="I19" s="6">
        <f t="shared" si="5"/>
        <v>0</v>
      </c>
      <c r="J19" s="6">
        <f t="shared" si="0"/>
        <v>3</v>
      </c>
      <c r="K19" s="6">
        <f t="shared" si="1"/>
        <v>0</v>
      </c>
      <c r="L19" s="6">
        <f t="shared" si="6"/>
        <v>0</v>
      </c>
      <c r="M19" s="6">
        <f t="shared" si="2"/>
        <v>0</v>
      </c>
      <c r="N19" s="6">
        <f t="shared" si="3"/>
        <v>3</v>
      </c>
      <c r="O19" s="6" t="str">
        <f t="shared" si="4"/>
        <v>일반</v>
      </c>
      <c r="P19" s="7" t="str">
        <f>RawData!Q15</f>
        <v>-</v>
      </c>
    </row>
    <row r="20" spans="1:16" x14ac:dyDescent="0.3">
      <c r="A20" s="6" t="str">
        <f>RIGHT(RawData!B16,2)</f>
        <v>12</v>
      </c>
      <c r="B20" s="6" t="str">
        <f>RawData!C16</f>
        <v>강남대로</v>
      </c>
      <c r="C20" s="6" t="str">
        <f>RawData!D16</f>
        <v>26-강남구-12</v>
      </c>
      <c r="D20" s="6" t="str">
        <f>RawData!E16</f>
        <v>양호</v>
      </c>
      <c r="E20" s="6" t="str">
        <f>RawData!F16</f>
        <v>거북등</v>
      </c>
      <c r="F20" s="6" t="str">
        <f>RawData!G16</f>
        <v>양호</v>
      </c>
      <c r="G20" s="6">
        <f>RawData!H16</f>
        <v>4</v>
      </c>
      <c r="H20" s="6" t="str">
        <f>RawData!I16</f>
        <v>-</v>
      </c>
      <c r="I20" s="6">
        <f t="shared" si="5"/>
        <v>0</v>
      </c>
      <c r="J20" s="6">
        <f t="shared" si="0"/>
        <v>3</v>
      </c>
      <c r="K20" s="6">
        <f t="shared" si="1"/>
        <v>0</v>
      </c>
      <c r="L20" s="6">
        <f t="shared" si="6"/>
        <v>0</v>
      </c>
      <c r="M20" s="6">
        <f t="shared" si="2"/>
        <v>0</v>
      </c>
      <c r="N20" s="6">
        <f t="shared" si="3"/>
        <v>3</v>
      </c>
      <c r="O20" s="6" t="str">
        <f t="shared" si="4"/>
        <v>일반</v>
      </c>
      <c r="P20" s="7" t="str">
        <f>RawData!Q16</f>
        <v>-</v>
      </c>
    </row>
    <row r="21" spans="1:16" x14ac:dyDescent="0.3">
      <c r="A21" s="6" t="str">
        <f>RIGHT(RawData!B17,2)</f>
        <v>13</v>
      </c>
      <c r="B21" s="6" t="str">
        <f>RawData!C17</f>
        <v>강남대로</v>
      </c>
      <c r="C21" s="6" t="str">
        <f>RawData!D17</f>
        <v>26-강남구-13</v>
      </c>
      <c r="D21" s="6" t="str">
        <f>RawData!E17</f>
        <v>양호</v>
      </c>
      <c r="E21" s="6" t="str">
        <f>RawData!F17</f>
        <v>거북등</v>
      </c>
      <c r="F21" s="6" t="str">
        <f>RawData!G17</f>
        <v>양호</v>
      </c>
      <c r="G21" s="6">
        <f>RawData!H17</f>
        <v>4</v>
      </c>
      <c r="H21" s="6" t="str">
        <f>RawData!I17</f>
        <v>-</v>
      </c>
      <c r="I21" s="6">
        <f t="shared" si="5"/>
        <v>0</v>
      </c>
      <c r="J21" s="6">
        <f t="shared" si="0"/>
        <v>3</v>
      </c>
      <c r="K21" s="6">
        <f t="shared" si="1"/>
        <v>0</v>
      </c>
      <c r="L21" s="6">
        <f t="shared" si="6"/>
        <v>0</v>
      </c>
      <c r="M21" s="6">
        <f t="shared" si="2"/>
        <v>0</v>
      </c>
      <c r="N21" s="6">
        <f t="shared" si="3"/>
        <v>3</v>
      </c>
      <c r="O21" s="6" t="str">
        <f t="shared" si="4"/>
        <v>일반</v>
      </c>
      <c r="P21" s="7" t="str">
        <f>RawData!Q17</f>
        <v>5cm미만 침하</v>
      </c>
    </row>
    <row r="22" spans="1:16" x14ac:dyDescent="0.3">
      <c r="A22" s="6" t="str">
        <f>RIGHT(RawData!B18,2)</f>
        <v>14</v>
      </c>
      <c r="B22" s="6" t="str">
        <f>RawData!C18</f>
        <v>강남대로</v>
      </c>
      <c r="C22" s="6" t="str">
        <f>RawData!D18</f>
        <v>26-강남구-14</v>
      </c>
      <c r="D22" s="6" t="str">
        <f>RawData!E18</f>
        <v>양호</v>
      </c>
      <c r="E22" s="6" t="str">
        <f>RawData!F18</f>
        <v>거북등</v>
      </c>
      <c r="F22" s="6" t="str">
        <f>RawData!G18</f>
        <v>양호</v>
      </c>
      <c r="G22" s="6">
        <f>RawData!H18</f>
        <v>4</v>
      </c>
      <c r="H22" s="6" t="str">
        <f>RawData!I18</f>
        <v>-</v>
      </c>
      <c r="I22" s="6">
        <f t="shared" si="5"/>
        <v>0</v>
      </c>
      <c r="J22" s="6">
        <f t="shared" si="0"/>
        <v>3</v>
      </c>
      <c r="K22" s="6">
        <f t="shared" si="1"/>
        <v>0</v>
      </c>
      <c r="L22" s="6">
        <f t="shared" si="6"/>
        <v>0</v>
      </c>
      <c r="M22" s="6">
        <f t="shared" si="2"/>
        <v>0</v>
      </c>
      <c r="N22" s="6">
        <f t="shared" si="3"/>
        <v>3</v>
      </c>
      <c r="O22" s="6" t="str">
        <f t="shared" si="4"/>
        <v>일반</v>
      </c>
      <c r="P22" s="7" t="str">
        <f>RawData!Q18</f>
        <v>-</v>
      </c>
    </row>
    <row r="23" spans="1:16" x14ac:dyDescent="0.3">
      <c r="A23" s="6" t="str">
        <f>RIGHT(RawData!B19,2)</f>
        <v>15</v>
      </c>
      <c r="B23" s="6" t="str">
        <f>RawData!C19</f>
        <v>강남대로</v>
      </c>
      <c r="C23" s="6" t="str">
        <f>RawData!D19</f>
        <v>26-강남구-15</v>
      </c>
      <c r="D23" s="6" t="str">
        <f>RawData!E19</f>
        <v>양호</v>
      </c>
      <c r="E23" s="6" t="str">
        <f>RawData!F19</f>
        <v>거북등</v>
      </c>
      <c r="F23" s="6" t="str">
        <f>RawData!G19</f>
        <v>양호</v>
      </c>
      <c r="G23" s="6">
        <f>RawData!H19</f>
        <v>4</v>
      </c>
      <c r="H23" s="6" t="str">
        <f>RawData!I19</f>
        <v>-</v>
      </c>
      <c r="I23" s="6">
        <f t="shared" si="5"/>
        <v>0</v>
      </c>
      <c r="J23" s="6">
        <f t="shared" si="0"/>
        <v>3</v>
      </c>
      <c r="K23" s="6">
        <f t="shared" si="1"/>
        <v>0</v>
      </c>
      <c r="L23" s="6">
        <f t="shared" si="6"/>
        <v>0</v>
      </c>
      <c r="M23" s="6">
        <f t="shared" si="2"/>
        <v>0</v>
      </c>
      <c r="N23" s="6">
        <f t="shared" si="3"/>
        <v>3</v>
      </c>
      <c r="O23" s="6" t="str">
        <f t="shared" si="4"/>
        <v>일반</v>
      </c>
      <c r="P23" s="7" t="str">
        <f>RawData!Q19</f>
        <v>-</v>
      </c>
    </row>
    <row r="24" spans="1:16" x14ac:dyDescent="0.3">
      <c r="A24" s="6" t="str">
        <f>RIGHT(RawData!B20,2)</f>
        <v>16</v>
      </c>
      <c r="B24" s="6" t="str">
        <f>RawData!C20</f>
        <v>강남대로</v>
      </c>
      <c r="C24" s="6" t="str">
        <f>RawData!D20</f>
        <v>26-강남구-16</v>
      </c>
      <c r="D24" s="6" t="str">
        <f>RawData!E20</f>
        <v>양호</v>
      </c>
      <c r="E24" s="6" t="str">
        <f>RawData!F20</f>
        <v>거북등</v>
      </c>
      <c r="F24" s="6" t="str">
        <f>RawData!G20</f>
        <v>양호</v>
      </c>
      <c r="G24" s="6">
        <f>RawData!H20</f>
        <v>4</v>
      </c>
      <c r="H24" s="6" t="str">
        <f>RawData!I20</f>
        <v>-</v>
      </c>
      <c r="I24" s="6">
        <f t="shared" si="5"/>
        <v>0</v>
      </c>
      <c r="J24" s="6">
        <f t="shared" si="0"/>
        <v>3</v>
      </c>
      <c r="K24" s="6">
        <f t="shared" si="1"/>
        <v>0</v>
      </c>
      <c r="L24" s="6">
        <f t="shared" si="6"/>
        <v>0</v>
      </c>
      <c r="M24" s="6">
        <f t="shared" si="2"/>
        <v>0</v>
      </c>
      <c r="N24" s="6">
        <f t="shared" si="3"/>
        <v>3</v>
      </c>
      <c r="O24" s="6" t="str">
        <f t="shared" si="4"/>
        <v>일반</v>
      </c>
      <c r="P24" s="7" t="str">
        <f>RawData!Q20</f>
        <v>-</v>
      </c>
    </row>
    <row r="25" spans="1:16" x14ac:dyDescent="0.3">
      <c r="A25" s="6" t="str">
        <f>RIGHT(RawData!B21,2)</f>
        <v>17</v>
      </c>
      <c r="B25" s="6" t="str">
        <f>RawData!C21</f>
        <v>강남대로</v>
      </c>
      <c r="C25" s="6" t="str">
        <f>RawData!D21</f>
        <v>26-강남구-17</v>
      </c>
      <c r="D25" s="6" t="str">
        <f>RawData!E21</f>
        <v>양호</v>
      </c>
      <c r="E25" s="6" t="str">
        <f>RawData!F21</f>
        <v>종균열</v>
      </c>
      <c r="F25" s="6" t="str">
        <f>RawData!G21</f>
        <v>양호</v>
      </c>
      <c r="G25" s="6">
        <f>RawData!H21</f>
        <v>4</v>
      </c>
      <c r="H25" s="6" t="str">
        <f>RawData!I21</f>
        <v>-</v>
      </c>
      <c r="I25" s="6">
        <f t="shared" si="5"/>
        <v>0</v>
      </c>
      <c r="J25" s="6">
        <f t="shared" si="0"/>
        <v>1</v>
      </c>
      <c r="K25" s="6">
        <f t="shared" si="1"/>
        <v>0</v>
      </c>
      <c r="L25" s="6">
        <f t="shared" si="6"/>
        <v>0</v>
      </c>
      <c r="M25" s="6">
        <f t="shared" si="2"/>
        <v>0</v>
      </c>
      <c r="N25" s="6">
        <f t="shared" si="3"/>
        <v>1</v>
      </c>
      <c r="O25" s="6" t="str">
        <f t="shared" si="4"/>
        <v>일반</v>
      </c>
      <c r="P25" s="7" t="str">
        <f>RawData!Q21</f>
        <v>-</v>
      </c>
    </row>
    <row r="26" spans="1:16" x14ac:dyDescent="0.3">
      <c r="A26" s="6" t="str">
        <f>RIGHT(RawData!B22,2)</f>
        <v>18</v>
      </c>
      <c r="B26" s="6" t="str">
        <f>RawData!C22</f>
        <v>강남대로</v>
      </c>
      <c r="C26" s="6" t="str">
        <f>RawData!D22</f>
        <v>26-강남구-18</v>
      </c>
      <c r="D26" s="6" t="str">
        <f>RawData!E22</f>
        <v>양호</v>
      </c>
      <c r="E26" s="6" t="str">
        <f>RawData!F22</f>
        <v>거북등</v>
      </c>
      <c r="F26" s="6" t="str">
        <f>RawData!G22</f>
        <v>양호</v>
      </c>
      <c r="G26" s="6">
        <f>RawData!H22</f>
        <v>4</v>
      </c>
      <c r="H26" s="6" t="str">
        <f>RawData!I22</f>
        <v>-</v>
      </c>
      <c r="I26" s="6">
        <f t="shared" si="5"/>
        <v>0</v>
      </c>
      <c r="J26" s="6">
        <f t="shared" si="0"/>
        <v>3</v>
      </c>
      <c r="K26" s="6">
        <f t="shared" si="1"/>
        <v>0</v>
      </c>
      <c r="L26" s="6">
        <f t="shared" si="6"/>
        <v>0</v>
      </c>
      <c r="M26" s="6">
        <f t="shared" si="2"/>
        <v>0</v>
      </c>
      <c r="N26" s="6">
        <f t="shared" si="3"/>
        <v>3</v>
      </c>
      <c r="O26" s="6" t="str">
        <f t="shared" si="4"/>
        <v>일반</v>
      </c>
      <c r="P26" s="7" t="str">
        <f>RawData!Q22</f>
        <v>-</v>
      </c>
    </row>
    <row r="27" spans="1:16" x14ac:dyDescent="0.3">
      <c r="A27" s="6" t="str">
        <f>RIGHT(RawData!B23,2)</f>
        <v>19</v>
      </c>
      <c r="B27" s="6" t="str">
        <f>RawData!C23</f>
        <v>강남대로</v>
      </c>
      <c r="C27" s="6" t="str">
        <f>RawData!D23</f>
        <v>26-강남구-19</v>
      </c>
      <c r="D27" s="6" t="str">
        <f>RawData!E23</f>
        <v>양호</v>
      </c>
      <c r="E27" s="6" t="str">
        <f>RawData!F23</f>
        <v>거북등</v>
      </c>
      <c r="F27" s="6" t="str">
        <f>RawData!G23</f>
        <v>양호</v>
      </c>
      <c r="G27" s="6">
        <f>RawData!H23</f>
        <v>4</v>
      </c>
      <c r="H27" s="6" t="str">
        <f>RawData!I23</f>
        <v>-</v>
      </c>
      <c r="I27" s="6">
        <f t="shared" si="5"/>
        <v>0</v>
      </c>
      <c r="J27" s="6">
        <f t="shared" si="0"/>
        <v>3</v>
      </c>
      <c r="K27" s="6">
        <f t="shared" si="1"/>
        <v>0</v>
      </c>
      <c r="L27" s="6">
        <f t="shared" si="6"/>
        <v>0</v>
      </c>
      <c r="M27" s="6">
        <f t="shared" si="2"/>
        <v>0</v>
      </c>
      <c r="N27" s="6">
        <f t="shared" si="3"/>
        <v>3</v>
      </c>
      <c r="O27" s="6" t="str">
        <f t="shared" si="4"/>
        <v>일반</v>
      </c>
      <c r="P27" s="7" t="str">
        <f>RawData!Q23</f>
        <v>-</v>
      </c>
    </row>
    <row r="28" spans="1:16" x14ac:dyDescent="0.3">
      <c r="A28" s="6" t="str">
        <f>RIGHT(RawData!B24,2)</f>
        <v>20</v>
      </c>
      <c r="B28" s="6" t="str">
        <f>RawData!C24</f>
        <v>강남대로</v>
      </c>
      <c r="C28" s="6" t="str">
        <f>RawData!D24</f>
        <v>26-강남구-20</v>
      </c>
      <c r="D28" s="6" t="str">
        <f>RawData!E24</f>
        <v>양호</v>
      </c>
      <c r="E28" s="6" t="str">
        <f>RawData!F24</f>
        <v>거북등</v>
      </c>
      <c r="F28" s="6" t="str">
        <f>RawData!G24</f>
        <v>양호</v>
      </c>
      <c r="G28" s="6">
        <f>RawData!H24</f>
        <v>4</v>
      </c>
      <c r="H28" s="6" t="str">
        <f>RawData!I24</f>
        <v>-</v>
      </c>
      <c r="I28" s="6">
        <f t="shared" si="5"/>
        <v>0</v>
      </c>
      <c r="J28" s="6">
        <f t="shared" si="0"/>
        <v>3</v>
      </c>
      <c r="K28" s="6">
        <f t="shared" si="1"/>
        <v>0</v>
      </c>
      <c r="L28" s="6">
        <f t="shared" si="6"/>
        <v>0</v>
      </c>
      <c r="M28" s="6">
        <f t="shared" si="2"/>
        <v>0</v>
      </c>
      <c r="N28" s="6">
        <f t="shared" si="3"/>
        <v>3</v>
      </c>
      <c r="O28" s="6" t="str">
        <f t="shared" si="4"/>
        <v>일반</v>
      </c>
      <c r="P28" s="7" t="str">
        <f>RawData!Q24</f>
        <v>-</v>
      </c>
    </row>
    <row r="29" spans="1:16" x14ac:dyDescent="0.3">
      <c r="A29" s="6" t="str">
        <f>RIGHT(RawData!B25,2)</f>
        <v>21</v>
      </c>
      <c r="B29" s="6" t="str">
        <f>RawData!C25</f>
        <v>강남대로</v>
      </c>
      <c r="C29" s="6" t="str">
        <f>RawData!D25</f>
        <v>26-강남구-21</v>
      </c>
      <c r="D29" s="6" t="str">
        <f>RawData!E25</f>
        <v>양호</v>
      </c>
      <c r="E29" s="6" t="str">
        <f>RawData!F25</f>
        <v>거북등</v>
      </c>
      <c r="F29" s="6" t="str">
        <f>RawData!G25</f>
        <v>양호</v>
      </c>
      <c r="G29" s="6">
        <f>RawData!H25</f>
        <v>4</v>
      </c>
      <c r="H29" s="6" t="str">
        <f>RawData!I25</f>
        <v>-</v>
      </c>
      <c r="I29" s="6">
        <f t="shared" si="5"/>
        <v>0</v>
      </c>
      <c r="J29" s="6">
        <f t="shared" si="0"/>
        <v>3</v>
      </c>
      <c r="K29" s="6">
        <f t="shared" si="1"/>
        <v>0</v>
      </c>
      <c r="L29" s="6">
        <f t="shared" si="6"/>
        <v>0</v>
      </c>
      <c r="M29" s="6">
        <f t="shared" si="2"/>
        <v>0</v>
      </c>
      <c r="N29" s="6">
        <f t="shared" si="3"/>
        <v>3</v>
      </c>
      <c r="O29" s="6" t="str">
        <f t="shared" si="4"/>
        <v>일반</v>
      </c>
      <c r="P29" s="7" t="str">
        <f>RawData!Q25</f>
        <v>-</v>
      </c>
    </row>
    <row r="30" spans="1:16" x14ac:dyDescent="0.3">
      <c r="A30" s="6" t="str">
        <f>RIGHT(RawData!B26,2)</f>
        <v>22</v>
      </c>
      <c r="B30" s="6" t="str">
        <f>RawData!C26</f>
        <v>강남대로</v>
      </c>
      <c r="C30" s="6" t="str">
        <f>RawData!D26</f>
        <v>26-강남구-22</v>
      </c>
      <c r="D30" s="6" t="str">
        <f>RawData!E26</f>
        <v>양호</v>
      </c>
      <c r="E30" s="6" t="str">
        <f>RawData!F26</f>
        <v>거북등</v>
      </c>
      <c r="F30" s="6" t="str">
        <f>RawData!G26</f>
        <v>양호</v>
      </c>
      <c r="G30" s="6">
        <f>RawData!H26</f>
        <v>4</v>
      </c>
      <c r="H30" s="6" t="str">
        <f>RawData!I26</f>
        <v>-</v>
      </c>
      <c r="I30" s="6">
        <f t="shared" si="5"/>
        <v>0</v>
      </c>
      <c r="J30" s="6">
        <f t="shared" si="0"/>
        <v>3</v>
      </c>
      <c r="K30" s="6">
        <f t="shared" si="1"/>
        <v>0</v>
      </c>
      <c r="L30" s="6">
        <f t="shared" si="6"/>
        <v>0</v>
      </c>
      <c r="M30" s="6">
        <f t="shared" si="2"/>
        <v>0</v>
      </c>
      <c r="N30" s="6">
        <f t="shared" si="3"/>
        <v>3</v>
      </c>
      <c r="O30" s="6" t="str">
        <f t="shared" si="4"/>
        <v>일반</v>
      </c>
      <c r="P30" s="7" t="str">
        <f>RawData!Q26</f>
        <v>-</v>
      </c>
    </row>
    <row r="31" spans="1:16" x14ac:dyDescent="0.3">
      <c r="A31" s="6" t="str">
        <f>RIGHT(RawData!B27,2)</f>
        <v>23</v>
      </c>
      <c r="B31" s="6" t="str">
        <f>RawData!C27</f>
        <v>강남대로</v>
      </c>
      <c r="C31" s="6" t="str">
        <f>RawData!D27</f>
        <v>26-강남구-23</v>
      </c>
      <c r="D31" s="6" t="str">
        <f>RawData!E27</f>
        <v>양호</v>
      </c>
      <c r="E31" s="6" t="str">
        <f>RawData!F27</f>
        <v>거북등</v>
      </c>
      <c r="F31" s="6" t="str">
        <f>RawData!G27</f>
        <v>양호</v>
      </c>
      <c r="G31" s="6">
        <f>RawData!H27</f>
        <v>4</v>
      </c>
      <c r="H31" s="6" t="str">
        <f>RawData!I27</f>
        <v>-</v>
      </c>
      <c r="I31" s="6">
        <f t="shared" si="5"/>
        <v>0</v>
      </c>
      <c r="J31" s="6">
        <f t="shared" si="0"/>
        <v>3</v>
      </c>
      <c r="K31" s="6">
        <f t="shared" si="1"/>
        <v>0</v>
      </c>
      <c r="L31" s="6">
        <f t="shared" si="6"/>
        <v>0</v>
      </c>
      <c r="M31" s="6">
        <f t="shared" si="2"/>
        <v>0</v>
      </c>
      <c r="N31" s="6">
        <f t="shared" si="3"/>
        <v>3</v>
      </c>
      <c r="O31" s="6" t="str">
        <f t="shared" si="4"/>
        <v>일반</v>
      </c>
      <c r="P31" s="7" t="str">
        <f>RawData!Q27</f>
        <v>-</v>
      </c>
    </row>
    <row r="32" spans="1:16" x14ac:dyDescent="0.3">
      <c r="A32" s="6" t="str">
        <f>RIGHT(RawData!B28,2)</f>
        <v>24</v>
      </c>
      <c r="B32" s="6" t="str">
        <f>RawData!C28</f>
        <v>강남대로</v>
      </c>
      <c r="C32" s="6" t="str">
        <f>RawData!D28</f>
        <v>26-강남구-24</v>
      </c>
      <c r="D32" s="6" t="str">
        <f>RawData!E28</f>
        <v>양호</v>
      </c>
      <c r="E32" s="6" t="str">
        <f>RawData!F28</f>
        <v>거북등</v>
      </c>
      <c r="F32" s="6" t="str">
        <f>RawData!G28</f>
        <v>양호</v>
      </c>
      <c r="G32" s="6">
        <f>RawData!H28</f>
        <v>4</v>
      </c>
      <c r="H32" s="6" t="str">
        <f>RawData!I28</f>
        <v>-</v>
      </c>
      <c r="I32" s="6">
        <f t="shared" si="5"/>
        <v>0</v>
      </c>
      <c r="J32" s="6">
        <f t="shared" si="0"/>
        <v>3</v>
      </c>
      <c r="K32" s="6">
        <f t="shared" si="1"/>
        <v>0</v>
      </c>
      <c r="L32" s="6">
        <f t="shared" si="6"/>
        <v>0</v>
      </c>
      <c r="M32" s="6">
        <f t="shared" si="2"/>
        <v>0</v>
      </c>
      <c r="N32" s="6">
        <f t="shared" si="3"/>
        <v>3</v>
      </c>
      <c r="O32" s="6" t="str">
        <f t="shared" si="4"/>
        <v>일반</v>
      </c>
      <c r="P32" s="7" t="str">
        <f>RawData!Q28</f>
        <v>-</v>
      </c>
    </row>
  </sheetData>
  <mergeCells count="20">
    <mergeCell ref="O7:O8"/>
    <mergeCell ref="P7:P8"/>
    <mergeCell ref="A7:A8"/>
    <mergeCell ref="B7:B8"/>
    <mergeCell ref="C7:C8"/>
    <mergeCell ref="D7:H7"/>
    <mergeCell ref="I7:M7"/>
    <mergeCell ref="N7:N8"/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</mergeCells>
  <phoneticPr fontId="3" type="noConversion"/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2026-06-12T02:56:08Z</dcterms:modified>
</cp:coreProperties>
</file>