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"/>
    </mc:Choice>
  </mc:AlternateContent>
  <xr:revisionPtr revIDLastSave="0" documentId="13_ncr:1_{275013E1-92B9-4172-B8B7-42DC84131B8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0">RawData!$A$1:$T$32</definedName>
    <definedName name="_xlnm.Print_Area" localSheetId="1">'V1'!$A$1:$C$31</definedName>
    <definedName name="_xlnm.Print_Area" localSheetId="2">'V2'!$A$1:$P$30</definedName>
    <definedName name="_xlnm.Print_Titles" localSheetId="1">'V1'!$5:$5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35" i="3" l="1"/>
  <c r="M35" i="3"/>
  <c r="L35" i="3"/>
  <c r="N35" i="3" s="1"/>
  <c r="O35" i="3" s="1"/>
  <c r="K35" i="3"/>
  <c r="J35" i="3"/>
  <c r="I35" i="3"/>
  <c r="H35" i="3"/>
  <c r="G35" i="3"/>
  <c r="F35" i="3"/>
  <c r="E35" i="3"/>
  <c r="D35" i="3"/>
  <c r="C35" i="3"/>
  <c r="B35" i="3"/>
  <c r="P34" i="3"/>
  <c r="M34" i="3"/>
  <c r="L34" i="3"/>
  <c r="H34" i="3"/>
  <c r="G34" i="3"/>
  <c r="F34" i="3"/>
  <c r="K34" i="3" s="1"/>
  <c r="E34" i="3"/>
  <c r="J34" i="3" s="1"/>
  <c r="D34" i="3"/>
  <c r="I34" i="3" s="1"/>
  <c r="N34" i="3" s="1"/>
  <c r="O34" i="3" s="1"/>
  <c r="C34" i="3"/>
  <c r="B34" i="3"/>
  <c r="P33" i="3"/>
  <c r="I33" i="3"/>
  <c r="H33" i="3"/>
  <c r="M33" i="3" s="1"/>
  <c r="G33" i="3"/>
  <c r="L33" i="3" s="1"/>
  <c r="F33" i="3"/>
  <c r="K33" i="3" s="1"/>
  <c r="E33" i="3"/>
  <c r="J33" i="3" s="1"/>
  <c r="D33" i="3"/>
  <c r="C33" i="3"/>
  <c r="B33" i="3"/>
  <c r="P32" i="3"/>
  <c r="L32" i="3"/>
  <c r="K32" i="3"/>
  <c r="J32" i="3"/>
  <c r="I32" i="3"/>
  <c r="H32" i="3"/>
  <c r="M32" i="3" s="1"/>
  <c r="G32" i="3"/>
  <c r="F32" i="3"/>
  <c r="E32" i="3"/>
  <c r="D32" i="3"/>
  <c r="C32" i="3"/>
  <c r="B32" i="3"/>
  <c r="P31" i="3"/>
  <c r="M31" i="3"/>
  <c r="L31" i="3"/>
  <c r="N31" i="3" s="1"/>
  <c r="O31" i="3" s="1"/>
  <c r="K31" i="3"/>
  <c r="J31" i="3"/>
  <c r="I31" i="3"/>
  <c r="H31" i="3"/>
  <c r="G31" i="3"/>
  <c r="F31" i="3"/>
  <c r="E31" i="3"/>
  <c r="D31" i="3"/>
  <c r="C31" i="3"/>
  <c r="B31" i="3"/>
  <c r="P30" i="3"/>
  <c r="M30" i="3"/>
  <c r="L30" i="3"/>
  <c r="H30" i="3"/>
  <c r="G30" i="3"/>
  <c r="F30" i="3"/>
  <c r="K30" i="3" s="1"/>
  <c r="E30" i="3"/>
  <c r="J30" i="3" s="1"/>
  <c r="D30" i="3"/>
  <c r="I30" i="3" s="1"/>
  <c r="N30" i="3" s="1"/>
  <c r="O30" i="3" s="1"/>
  <c r="C30" i="3"/>
  <c r="B30" i="3"/>
  <c r="P29" i="3"/>
  <c r="I29" i="3"/>
  <c r="N29" i="3" s="1"/>
  <c r="O29" i="3" s="1"/>
  <c r="H29" i="3"/>
  <c r="M29" i="3" s="1"/>
  <c r="G29" i="3"/>
  <c r="L29" i="3" s="1"/>
  <c r="F29" i="3"/>
  <c r="K29" i="3" s="1"/>
  <c r="E29" i="3"/>
  <c r="J29" i="3" s="1"/>
  <c r="D29" i="3"/>
  <c r="C29" i="3"/>
  <c r="B29" i="3"/>
  <c r="P28" i="3"/>
  <c r="L28" i="3"/>
  <c r="K28" i="3"/>
  <c r="J28" i="3"/>
  <c r="I28" i="3"/>
  <c r="N28" i="3" s="1"/>
  <c r="O28" i="3" s="1"/>
  <c r="H28" i="3"/>
  <c r="M28" i="3" s="1"/>
  <c r="G28" i="3"/>
  <c r="F28" i="3"/>
  <c r="E28" i="3"/>
  <c r="D28" i="3"/>
  <c r="C28" i="3"/>
  <c r="B28" i="3"/>
  <c r="P27" i="3"/>
  <c r="M27" i="3"/>
  <c r="L27" i="3"/>
  <c r="N27" i="3" s="1"/>
  <c r="O27" i="3" s="1"/>
  <c r="K27" i="3"/>
  <c r="J27" i="3"/>
  <c r="I27" i="3"/>
  <c r="H27" i="3"/>
  <c r="G27" i="3"/>
  <c r="F27" i="3"/>
  <c r="E27" i="3"/>
  <c r="D27" i="3"/>
  <c r="C27" i="3"/>
  <c r="B27" i="3"/>
  <c r="P26" i="3"/>
  <c r="M26" i="3"/>
  <c r="L26" i="3"/>
  <c r="H26" i="3"/>
  <c r="G26" i="3"/>
  <c r="F26" i="3"/>
  <c r="K26" i="3" s="1"/>
  <c r="E26" i="3"/>
  <c r="J26" i="3" s="1"/>
  <c r="D26" i="3"/>
  <c r="I26" i="3" s="1"/>
  <c r="C26" i="3"/>
  <c r="B26" i="3"/>
  <c r="P25" i="3"/>
  <c r="I25" i="3"/>
  <c r="H25" i="3"/>
  <c r="M25" i="3" s="1"/>
  <c r="G25" i="3"/>
  <c r="L25" i="3" s="1"/>
  <c r="F25" i="3"/>
  <c r="K25" i="3" s="1"/>
  <c r="E25" i="3"/>
  <c r="J25" i="3" s="1"/>
  <c r="D25" i="3"/>
  <c r="C25" i="3"/>
  <c r="B25" i="3"/>
  <c r="P24" i="3"/>
  <c r="L24" i="3"/>
  <c r="K24" i="3"/>
  <c r="J24" i="3"/>
  <c r="I24" i="3"/>
  <c r="H24" i="3"/>
  <c r="M24" i="3" s="1"/>
  <c r="G24" i="3"/>
  <c r="F24" i="3"/>
  <c r="E24" i="3"/>
  <c r="D24" i="3"/>
  <c r="C24" i="3"/>
  <c r="B24" i="3"/>
  <c r="P23" i="3"/>
  <c r="M23" i="3"/>
  <c r="L23" i="3"/>
  <c r="N23" i="3" s="1"/>
  <c r="O23" i="3" s="1"/>
  <c r="K23" i="3"/>
  <c r="J23" i="3"/>
  <c r="I23" i="3"/>
  <c r="H23" i="3"/>
  <c r="G23" i="3"/>
  <c r="F23" i="3"/>
  <c r="E23" i="3"/>
  <c r="D23" i="3"/>
  <c r="C23" i="3"/>
  <c r="B23" i="3"/>
  <c r="P22" i="3"/>
  <c r="M22" i="3"/>
  <c r="L22" i="3"/>
  <c r="H22" i="3"/>
  <c r="G22" i="3"/>
  <c r="F22" i="3"/>
  <c r="K22" i="3" s="1"/>
  <c r="E22" i="3"/>
  <c r="J22" i="3" s="1"/>
  <c r="D22" i="3"/>
  <c r="I22" i="3" s="1"/>
  <c r="N22" i="3" s="1"/>
  <c r="O22" i="3" s="1"/>
  <c r="C22" i="3"/>
  <c r="B22" i="3"/>
  <c r="P21" i="3"/>
  <c r="I21" i="3"/>
  <c r="H21" i="3"/>
  <c r="M21" i="3" s="1"/>
  <c r="G21" i="3"/>
  <c r="L21" i="3" s="1"/>
  <c r="F21" i="3"/>
  <c r="K21" i="3" s="1"/>
  <c r="E21" i="3"/>
  <c r="J21" i="3" s="1"/>
  <c r="D21" i="3"/>
  <c r="C21" i="3"/>
  <c r="B21" i="3"/>
  <c r="P20" i="3"/>
  <c r="L20" i="3"/>
  <c r="K20" i="3"/>
  <c r="J20" i="3"/>
  <c r="I20" i="3"/>
  <c r="N20" i="3" s="1"/>
  <c r="O20" i="3" s="1"/>
  <c r="H20" i="3"/>
  <c r="M20" i="3" s="1"/>
  <c r="G20" i="3"/>
  <c r="F20" i="3"/>
  <c r="E20" i="3"/>
  <c r="D20" i="3"/>
  <c r="C20" i="3"/>
  <c r="B20" i="3"/>
  <c r="P19" i="3"/>
  <c r="M19" i="3"/>
  <c r="L19" i="3"/>
  <c r="N19" i="3" s="1"/>
  <c r="O19" i="3" s="1"/>
  <c r="K19" i="3"/>
  <c r="J19" i="3"/>
  <c r="I19" i="3"/>
  <c r="H19" i="3"/>
  <c r="G19" i="3"/>
  <c r="F19" i="3"/>
  <c r="E19" i="3"/>
  <c r="D19" i="3"/>
  <c r="C19" i="3"/>
  <c r="B19" i="3"/>
  <c r="P18" i="3"/>
  <c r="M18" i="3"/>
  <c r="L18" i="3"/>
  <c r="H18" i="3"/>
  <c r="G18" i="3"/>
  <c r="F18" i="3"/>
  <c r="K18" i="3" s="1"/>
  <c r="E18" i="3"/>
  <c r="J18" i="3" s="1"/>
  <c r="D18" i="3"/>
  <c r="I18" i="3" s="1"/>
  <c r="N18" i="3" s="1"/>
  <c r="O18" i="3" s="1"/>
  <c r="C18" i="3"/>
  <c r="B18" i="3"/>
  <c r="P17" i="3"/>
  <c r="I17" i="3"/>
  <c r="N17" i="3" s="1"/>
  <c r="O17" i="3" s="1"/>
  <c r="H17" i="3"/>
  <c r="M17" i="3" s="1"/>
  <c r="G17" i="3"/>
  <c r="L17" i="3" s="1"/>
  <c r="F17" i="3"/>
  <c r="K17" i="3" s="1"/>
  <c r="E17" i="3"/>
  <c r="J17" i="3" s="1"/>
  <c r="D17" i="3"/>
  <c r="C17" i="3"/>
  <c r="B17" i="3"/>
  <c r="P16" i="3"/>
  <c r="L16" i="3"/>
  <c r="K16" i="3"/>
  <c r="J16" i="3"/>
  <c r="I16" i="3"/>
  <c r="N16" i="3" s="1"/>
  <c r="O16" i="3" s="1"/>
  <c r="H16" i="3"/>
  <c r="M16" i="3" s="1"/>
  <c r="G16" i="3"/>
  <c r="F16" i="3"/>
  <c r="E16" i="3"/>
  <c r="D16" i="3"/>
  <c r="C16" i="3"/>
  <c r="B16" i="3"/>
  <c r="P15" i="3"/>
  <c r="M15" i="3"/>
  <c r="L15" i="3"/>
  <c r="N15" i="3" s="1"/>
  <c r="O15" i="3" s="1"/>
  <c r="K15" i="3"/>
  <c r="J15" i="3"/>
  <c r="I15" i="3"/>
  <c r="H15" i="3"/>
  <c r="G15" i="3"/>
  <c r="F15" i="3"/>
  <c r="E15" i="3"/>
  <c r="D15" i="3"/>
  <c r="C15" i="3"/>
  <c r="B15" i="3"/>
  <c r="P14" i="3"/>
  <c r="M14" i="3"/>
  <c r="L14" i="3"/>
  <c r="H14" i="3"/>
  <c r="G14" i="3"/>
  <c r="F14" i="3"/>
  <c r="K14" i="3" s="1"/>
  <c r="E14" i="3"/>
  <c r="J14" i="3" s="1"/>
  <c r="D14" i="3"/>
  <c r="I14" i="3" s="1"/>
  <c r="C14" i="3"/>
  <c r="B14" i="3"/>
  <c r="P13" i="3"/>
  <c r="I13" i="3"/>
  <c r="H13" i="3"/>
  <c r="M13" i="3" s="1"/>
  <c r="G13" i="3"/>
  <c r="L13" i="3" s="1"/>
  <c r="F13" i="3"/>
  <c r="K13" i="3" s="1"/>
  <c r="E13" i="3"/>
  <c r="J13" i="3" s="1"/>
  <c r="D13" i="3"/>
  <c r="C13" i="3"/>
  <c r="B13" i="3"/>
  <c r="P12" i="3"/>
  <c r="L12" i="3"/>
  <c r="K12" i="3"/>
  <c r="J12" i="3"/>
  <c r="I12" i="3"/>
  <c r="H12" i="3"/>
  <c r="M12" i="3" s="1"/>
  <c r="G12" i="3"/>
  <c r="F12" i="3"/>
  <c r="E12" i="3"/>
  <c r="D12" i="3"/>
  <c r="C12" i="3"/>
  <c r="B12" i="3"/>
  <c r="P11" i="3"/>
  <c r="M11" i="3"/>
  <c r="L11" i="3"/>
  <c r="N11" i="3" s="1"/>
  <c r="O11" i="3" s="1"/>
  <c r="K11" i="3"/>
  <c r="J11" i="3"/>
  <c r="I11" i="3"/>
  <c r="H11" i="3"/>
  <c r="G11" i="3"/>
  <c r="F11" i="3"/>
  <c r="E11" i="3"/>
  <c r="D11" i="3"/>
  <c r="C11" i="3"/>
  <c r="B11" i="3"/>
  <c r="P10" i="3"/>
  <c r="M10" i="3"/>
  <c r="L10" i="3"/>
  <c r="H10" i="3"/>
  <c r="G10" i="3"/>
  <c r="F10" i="3"/>
  <c r="K10" i="3" s="1"/>
  <c r="E10" i="3"/>
  <c r="J10" i="3" s="1"/>
  <c r="D10" i="3"/>
  <c r="I10" i="3" s="1"/>
  <c r="N10" i="3" s="1"/>
  <c r="O10" i="3" s="1"/>
  <c r="C10" i="3"/>
  <c r="B10" i="3"/>
  <c r="P9" i="3"/>
  <c r="I9" i="3"/>
  <c r="H9" i="3"/>
  <c r="M9" i="3" s="1"/>
  <c r="G9" i="3"/>
  <c r="L9" i="3" s="1"/>
  <c r="F9" i="3"/>
  <c r="K9" i="3" s="1"/>
  <c r="E9" i="3"/>
  <c r="J9" i="3" s="1"/>
  <c r="D9" i="3"/>
  <c r="C9" i="3"/>
  <c r="B9" i="3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N32" i="1"/>
  <c r="O32" i="1" s="1"/>
  <c r="M32" i="1"/>
  <c r="L32" i="1"/>
  <c r="K32" i="1"/>
  <c r="J32" i="1"/>
  <c r="I32" i="1"/>
  <c r="C32" i="1"/>
  <c r="M31" i="1"/>
  <c r="L31" i="1"/>
  <c r="K31" i="1"/>
  <c r="J31" i="1"/>
  <c r="I31" i="1"/>
  <c r="N31" i="1" s="1"/>
  <c r="O31" i="1" s="1"/>
  <c r="C31" i="1"/>
  <c r="M30" i="1"/>
  <c r="L30" i="1"/>
  <c r="K30" i="1"/>
  <c r="J30" i="1"/>
  <c r="I30" i="1"/>
  <c r="N30" i="1" s="1"/>
  <c r="O30" i="1" s="1"/>
  <c r="C30" i="1"/>
  <c r="N29" i="1"/>
  <c r="O29" i="1" s="1"/>
  <c r="M29" i="1"/>
  <c r="L29" i="1"/>
  <c r="K29" i="1"/>
  <c r="J29" i="1"/>
  <c r="I29" i="1"/>
  <c r="C29" i="1"/>
  <c r="M28" i="1"/>
  <c r="L28" i="1"/>
  <c r="K28" i="1"/>
  <c r="J28" i="1"/>
  <c r="I28" i="1"/>
  <c r="N28" i="1" s="1"/>
  <c r="O28" i="1" s="1"/>
  <c r="C28" i="1"/>
  <c r="M27" i="1"/>
  <c r="L27" i="1"/>
  <c r="K27" i="1"/>
  <c r="J27" i="1"/>
  <c r="I27" i="1"/>
  <c r="N27" i="1" s="1"/>
  <c r="O27" i="1" s="1"/>
  <c r="C27" i="1"/>
  <c r="N26" i="1"/>
  <c r="O26" i="1" s="1"/>
  <c r="M26" i="1"/>
  <c r="L26" i="1"/>
  <c r="K26" i="1"/>
  <c r="J26" i="1"/>
  <c r="I26" i="1"/>
  <c r="C26" i="1"/>
  <c r="M25" i="1"/>
  <c r="L25" i="1"/>
  <c r="K25" i="1"/>
  <c r="J25" i="1"/>
  <c r="I25" i="1"/>
  <c r="N25" i="1" s="1"/>
  <c r="O25" i="1" s="1"/>
  <c r="C25" i="1"/>
  <c r="M24" i="1"/>
  <c r="L24" i="1"/>
  <c r="K24" i="1"/>
  <c r="J24" i="1"/>
  <c r="I24" i="1"/>
  <c r="N24" i="1" s="1"/>
  <c r="O24" i="1" s="1"/>
  <c r="C24" i="1"/>
  <c r="N23" i="1"/>
  <c r="O23" i="1" s="1"/>
  <c r="M23" i="1"/>
  <c r="L23" i="1"/>
  <c r="K23" i="1"/>
  <c r="J23" i="1"/>
  <c r="I23" i="1"/>
  <c r="C23" i="1"/>
  <c r="M22" i="1"/>
  <c r="L22" i="1"/>
  <c r="K22" i="1"/>
  <c r="J22" i="1"/>
  <c r="I22" i="1"/>
  <c r="N22" i="1" s="1"/>
  <c r="O22" i="1" s="1"/>
  <c r="C22" i="1"/>
  <c r="M21" i="1"/>
  <c r="L21" i="1"/>
  <c r="K21" i="1"/>
  <c r="J21" i="1"/>
  <c r="I21" i="1"/>
  <c r="N21" i="1" s="1"/>
  <c r="O21" i="1" s="1"/>
  <c r="C21" i="1"/>
  <c r="N20" i="1"/>
  <c r="O20" i="1" s="1"/>
  <c r="M20" i="1"/>
  <c r="L20" i="1"/>
  <c r="K20" i="1"/>
  <c r="J20" i="1"/>
  <c r="I20" i="1"/>
  <c r="C20" i="1"/>
  <c r="M19" i="1"/>
  <c r="L19" i="1"/>
  <c r="K19" i="1"/>
  <c r="J19" i="1"/>
  <c r="I19" i="1"/>
  <c r="N19" i="1" s="1"/>
  <c r="O19" i="1" s="1"/>
  <c r="C19" i="1"/>
  <c r="M18" i="1"/>
  <c r="L18" i="1"/>
  <c r="K18" i="1"/>
  <c r="J18" i="1"/>
  <c r="I18" i="1"/>
  <c r="N18" i="1" s="1"/>
  <c r="O18" i="1" s="1"/>
  <c r="C18" i="1"/>
  <c r="N17" i="1"/>
  <c r="O17" i="1" s="1"/>
  <c r="M17" i="1"/>
  <c r="L17" i="1"/>
  <c r="K17" i="1"/>
  <c r="J17" i="1"/>
  <c r="I17" i="1"/>
  <c r="C17" i="1"/>
  <c r="M16" i="1"/>
  <c r="L16" i="1"/>
  <c r="K16" i="1"/>
  <c r="J16" i="1"/>
  <c r="I16" i="1"/>
  <c r="N16" i="1" s="1"/>
  <c r="O16" i="1" s="1"/>
  <c r="C16" i="1"/>
  <c r="M15" i="1"/>
  <c r="L15" i="1"/>
  <c r="K15" i="1"/>
  <c r="J15" i="1"/>
  <c r="I15" i="1"/>
  <c r="N15" i="1" s="1"/>
  <c r="O15" i="1" s="1"/>
  <c r="C15" i="1"/>
  <c r="N14" i="1"/>
  <c r="O14" i="1" s="1"/>
  <c r="M14" i="1"/>
  <c r="L14" i="1"/>
  <c r="K14" i="1"/>
  <c r="J14" i="1"/>
  <c r="I14" i="1"/>
  <c r="C14" i="1"/>
  <c r="M13" i="1"/>
  <c r="L13" i="1"/>
  <c r="K13" i="1"/>
  <c r="J13" i="1"/>
  <c r="I13" i="1"/>
  <c r="N13" i="1" s="1"/>
  <c r="O13" i="1" s="1"/>
  <c r="C13" i="1"/>
  <c r="M12" i="1"/>
  <c r="L12" i="1"/>
  <c r="K12" i="1"/>
  <c r="J12" i="1"/>
  <c r="I12" i="1"/>
  <c r="N12" i="1" s="1"/>
  <c r="O12" i="1" s="1"/>
  <c r="C12" i="1"/>
  <c r="N11" i="1"/>
  <c r="O11" i="1" s="1"/>
  <c r="M11" i="1"/>
  <c r="L11" i="1"/>
  <c r="K11" i="1"/>
  <c r="J11" i="1"/>
  <c r="I11" i="1"/>
  <c r="C11" i="1"/>
  <c r="M10" i="1"/>
  <c r="L10" i="1"/>
  <c r="K10" i="1"/>
  <c r="J10" i="1"/>
  <c r="I10" i="1"/>
  <c r="N10" i="1" s="1"/>
  <c r="O10" i="1" s="1"/>
  <c r="C10" i="1"/>
  <c r="M9" i="1"/>
  <c r="L9" i="1"/>
  <c r="K9" i="1"/>
  <c r="J9" i="1"/>
  <c r="I9" i="1"/>
  <c r="N9" i="1" s="1"/>
  <c r="O9" i="1" s="1"/>
  <c r="C9" i="1"/>
  <c r="N8" i="1"/>
  <c r="O8" i="1" s="1"/>
  <c r="M8" i="1"/>
  <c r="L8" i="1"/>
  <c r="K8" i="1"/>
  <c r="J8" i="1"/>
  <c r="I8" i="1"/>
  <c r="C8" i="1"/>
  <c r="M7" i="1"/>
  <c r="L7" i="1"/>
  <c r="K7" i="1"/>
  <c r="J7" i="1"/>
  <c r="I7" i="1"/>
  <c r="N7" i="1" s="1"/>
  <c r="O7" i="1" s="1"/>
  <c r="C7" i="1"/>
  <c r="M6" i="1"/>
  <c r="L6" i="1"/>
  <c r="K6" i="1"/>
  <c r="J6" i="1"/>
  <c r="I6" i="1"/>
  <c r="N6" i="1" s="1"/>
  <c r="O6" i="1" s="1"/>
  <c r="C6" i="1"/>
  <c r="N12" i="3" l="1"/>
  <c r="O12" i="3" s="1"/>
  <c r="N13" i="3"/>
  <c r="O13" i="3" s="1"/>
  <c r="N24" i="3"/>
  <c r="O24" i="3" s="1"/>
  <c r="N25" i="3"/>
  <c r="O25" i="3" s="1"/>
  <c r="N9" i="3"/>
  <c r="O9" i="3" s="1"/>
  <c r="N14" i="3"/>
  <c r="O14" i="3" s="1"/>
  <c r="N21" i="3"/>
  <c r="O21" i="3" s="1"/>
  <c r="N26" i="3"/>
  <c r="O26" i="3" s="1"/>
  <c r="N32" i="3"/>
  <c r="O32" i="3" s="1"/>
  <c r="N33" i="3"/>
  <c r="O33" i="3" s="1"/>
</calcChain>
</file>

<file path=xl/sharedStrings.xml><?xml version="1.0" encoding="utf-8"?>
<sst xmlns="http://schemas.openxmlformats.org/spreadsheetml/2006/main" count="260" uniqueCount="94">
  <si>
    <t>시행년도</t>
  </si>
  <si>
    <t>시행사 구분</t>
  </si>
  <si>
    <t>권역구 구분</t>
  </si>
  <si>
    <t>신분당</t>
  </si>
  <si>
    <t>강남구</t>
  </si>
  <si>
    <t>순번</t>
  </si>
  <si>
    <t>조사측선명</t>
  </si>
  <si>
    <t>손상구분번호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</si>
  <si>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(mm)</t>
    </r>
  </si>
  <si>
    <t>균열</t>
  </si>
  <si>
    <t>습윤</t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</si>
  <si>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</si>
  <si>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맑은 고딕"/>
        <family val="3"/>
        <charset val="129"/>
      </rPr>
      <t>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맑은 고딕"/>
        <family val="3"/>
        <charset val="129"/>
      </rPr>
      <t>)</t>
    </r>
  </si>
  <si>
    <t>침하</t>
  </si>
  <si>
    <t>노후도</t>
  </si>
  <si>
    <t>보수보강이력</t>
  </si>
  <si>
    <t>평가점수</t>
  </si>
  <si>
    <t>평가등급</t>
  </si>
  <si>
    <t>조사자 의견</t>
  </si>
  <si>
    <r>
      <rPr>
        <sz val="9"/>
        <color theme="1"/>
        <rFont val="Noto Sans CJK SC"/>
        <family val="2"/>
      </rPr>
      <t>인접지번주소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도로명주소</t>
    </r>
    <r>
      <rPr>
        <sz val="9"/>
        <color theme="1"/>
        <rFont val="맑은 고딕"/>
        <family val="3"/>
        <charset val="129"/>
      </rPr>
      <t>)</t>
    </r>
  </si>
  <si>
    <t>조사 위치도</t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</si>
  <si>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1</t>
    </r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</si>
  <si>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2</t>
    </r>
  </si>
  <si>
    <t>강남대로</t>
  </si>
  <si>
    <t>양호</t>
  </si>
  <si>
    <t>종균열</t>
  </si>
  <si>
    <t>-</t>
  </si>
  <si>
    <r>
      <rPr>
        <sz val="9"/>
        <color theme="1"/>
        <rFont val="Noto Sans CJK SC"/>
        <family val="2"/>
      </rPr>
      <t>우리은행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</si>
  <si>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 침하</t>
    </r>
  </si>
  <si>
    <r>
      <rPr>
        <sz val="9"/>
        <color theme="1"/>
        <rFont val="Noto Sans CJK SC"/>
        <family val="2"/>
      </rPr>
      <t>신사역 환기구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</si>
  <si>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거북등</t>
  </si>
  <si>
    <r>
      <rPr>
        <sz val="9"/>
        <color theme="1"/>
        <rFont val="Noto Sans CJK SC"/>
        <family val="2"/>
      </rPr>
      <t>청기와타운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</si>
  <si>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NHN</t>
    </r>
    <r>
      <rPr>
        <sz val="9"/>
        <color theme="1"/>
        <rFont val="Noto Sans CJK SC"/>
        <family val="2"/>
      </rPr>
      <t>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</si>
  <si>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성현빌딩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</si>
  <si>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CU</t>
    </r>
    <r>
      <rPr>
        <sz val="9"/>
        <color theme="1"/>
        <rFont val="Noto Sans CJK SC"/>
        <family val="2"/>
      </rPr>
      <t>편의점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</si>
  <si>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국제미디 논현점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</si>
  <si>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논현역</t>
    </r>
    <r>
      <rPr>
        <sz val="9"/>
        <color theme="1"/>
        <rFont val="맑은 고딕"/>
        <family val="3"/>
        <charset val="129"/>
      </rPr>
      <t>#9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</si>
  <si>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논현역 교차로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</si>
  <si>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할리스커피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</si>
  <si>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한국금거래소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강남논현점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</si>
  <si>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아웃백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</si>
  <si>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나나성형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외과의원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</si>
  <si>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나나성형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외과의원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횡단도로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</si>
  <si>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신논현역</t>
    </r>
    <r>
      <rPr>
        <sz val="9"/>
        <color theme="1"/>
        <rFont val="맑은 고딕"/>
        <family val="3"/>
        <charset val="129"/>
      </rPr>
      <t>#3</t>
    </r>
    <r>
      <rPr>
        <sz val="9"/>
        <color theme="1"/>
        <rFont val="Noto Sans CJK SC"/>
        <family val="2"/>
      </rPr>
      <t>번출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</si>
  <si>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아디다스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</si>
  <si>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신논현역 </t>
    </r>
    <r>
      <rPr>
        <sz val="9"/>
        <color theme="1"/>
        <rFont val="맑은 고딕"/>
        <family val="3"/>
        <charset val="129"/>
      </rPr>
      <t>#5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</si>
  <si>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뮤즈의원 강남점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</si>
  <si>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커피빈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</si>
  <si>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 xml:space="preserve">CGV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횡단보도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</si>
  <si>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강남</t>
    </r>
    <r>
      <rPr>
        <sz val="9"/>
        <color theme="1"/>
        <rFont val="맑은 고딕"/>
        <family val="3"/>
        <charset val="129"/>
      </rPr>
      <t>e</t>
    </r>
    <r>
      <rPr>
        <sz val="9"/>
        <color theme="1"/>
        <rFont val="Noto Sans CJK SC"/>
        <family val="2"/>
      </rPr>
      <t>스퀘어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</si>
  <si>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ABC</t>
    </r>
    <r>
      <rPr>
        <sz val="9"/>
        <color theme="1"/>
        <rFont val="Noto Sans CJK SC"/>
        <family val="2"/>
      </rPr>
      <t>마트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</si>
  <si>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진우빌딩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</si>
  <si>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뉴발란스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</si>
  <si>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디자인스킨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</si>
  <si>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SC</t>
    </r>
    <r>
      <rPr>
        <sz val="9"/>
        <color theme="1"/>
        <rFont val="Noto Sans CJK SC"/>
        <family val="2"/>
      </rPr>
      <t>제일은행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</si>
  <si>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b/>
        <sz val="11"/>
        <color theme="1"/>
        <rFont val="HY헤드라인M"/>
        <family val="1"/>
        <charset val="129"/>
      </rPr>
      <t>○ 2025</t>
    </r>
    <r>
      <rPr>
        <b/>
        <sz val="11"/>
        <color theme="1"/>
        <rFont val="Noto Sans CJK SC"/>
        <family val="2"/>
      </rPr>
      <t>년 등급별 손상구간 상세위치</t>
    </r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</si>
  <si>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</si>
  <si>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</si>
  <si>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</si>
  <si>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</si>
  <si>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</si>
  <si>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</si>
  <si>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</si>
  <si>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서울시</t>
  </si>
  <si>
    <t>신분당선</t>
  </si>
  <si>
    <t>2025.03.17.~05.31</t>
  </si>
  <si>
    <t>기술참여자 명단 참조</t>
  </si>
  <si>
    <t>조사결과</t>
  </si>
  <si>
    <t>평가항목별 점수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</si>
  <si>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HY헤드라인M"/>
        <family val="1"/>
        <charset val="129"/>
      </rPr>
      <t>(mm)</t>
    </r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</si>
  <si>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HY헤드라인M"/>
        <family val="1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HY헤드라인M"/>
        <family val="1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</si>
  <si>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HY헤드라인M"/>
        <family val="1"/>
        <charset val="129"/>
      </rPr>
      <t>1) 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HY헤드라인M"/>
        <family val="1"/>
        <charset val="129"/>
      </rPr>
      <t>)</t>
    </r>
  </si>
  <si>
    <t>보통</t>
  </si>
  <si>
    <t>불량</t>
  </si>
  <si>
    <t>총 점수</t>
  </si>
  <si>
    <t>비고</t>
  </si>
  <si>
    <t>3~5</t>
  </si>
  <si>
    <t>일반</t>
  </si>
  <si>
    <t>경기철도</t>
  </si>
  <si>
    <t>서초구</t>
  </si>
  <si>
    <t>6~8</t>
  </si>
  <si>
    <t>우선</t>
  </si>
  <si>
    <t>육안조사서 작성</t>
  </si>
  <si>
    <t>새서울철도</t>
  </si>
  <si>
    <t>성남시</t>
  </si>
  <si>
    <t>1~3</t>
  </si>
  <si>
    <r>
      <rPr>
        <sz val="9"/>
        <color theme="1"/>
        <rFont val="맑은 고딕"/>
        <family val="2"/>
        <charset val="129"/>
      </rPr>
      <t xml:space="preserve">9 </t>
    </r>
    <r>
      <rPr>
        <sz val="9"/>
        <color theme="1"/>
        <rFont val="Noto Sans CJK SC"/>
        <family val="2"/>
      </rPr>
      <t>이상</t>
    </r>
  </si>
  <si>
    <t>긴급</t>
  </si>
  <si>
    <t>용인시</t>
  </si>
  <si>
    <t>수원시</t>
  </si>
  <si>
    <t>지반침하 등의 발생이력</t>
  </si>
  <si>
    <t>손상구간번호(평가등급)</t>
    <phoneticPr fontId="11" type="noConversion"/>
  </si>
  <si>
    <t>조사 위치도</t>
    <phoneticPr fontId="11" type="noConversion"/>
  </si>
  <si>
    <t>지번 주소
(도로명 주소)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</si>
</sst>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Noto Sans CJK SC"/>
      <family val="2"/>
    </font>
    <font>
      <b/>
      <sz val="11"/>
      <color theme="1"/>
      <name val="HY헤드라인M"/>
      <family val="1"/>
      <charset val="129"/>
    </font>
    <font>
      <b/>
      <sz val="11"/>
      <color theme="1"/>
      <name val="Noto Sans CJK SC"/>
      <family val="2"/>
    </font>
    <font>
      <sz val="9"/>
      <color theme="1"/>
      <name val="HY헤드라인M"/>
      <family val="1"/>
      <charset val="129"/>
    </font>
    <font>
      <sz val="11"/>
      <color theme="1"/>
      <name val="Noto Sans CJK SC"/>
      <family val="2"/>
    </font>
    <font>
      <sz val="11"/>
      <color theme="1"/>
      <name val="HY헤드라인M"/>
      <family val="1"/>
      <charset val="129"/>
    </font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10" fillId="0" borderId="2" xfId="0" applyFont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163286</xdr:colOff>
      <xdr:row>5</xdr:row>
      <xdr:rowOff>39460</xdr:rowOff>
    </xdr:from>
    <xdr:to>
      <xdr:col>17</xdr:col>
      <xdr:colOff>2868386</xdr:colOff>
      <xdr:row>5</xdr:row>
      <xdr:rowOff>1628775</xdr:rowOff>
    </xdr:to>
    <xdr:pic>
      <xdr:nvPicPr>
        <xdr:cNvPr id="43" name="_x909180144">
          <a:extLst>
            <a:ext uri="{FF2B5EF4-FFF2-40B4-BE49-F238E27FC236}">
              <a16:creationId xmlns:a16="http://schemas.microsoft.com/office/drawing/2014/main" id="{71D4F21B-6B23-5FCB-CBA6-57265FAF00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2284639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</xdr:row>
      <xdr:rowOff>39461</xdr:rowOff>
    </xdr:from>
    <xdr:to>
      <xdr:col>17</xdr:col>
      <xdr:colOff>2868386</xdr:colOff>
      <xdr:row>6</xdr:row>
      <xdr:rowOff>1628775</xdr:rowOff>
    </xdr:to>
    <xdr:pic>
      <xdr:nvPicPr>
        <xdr:cNvPr id="44" name="_x909180072">
          <a:extLst>
            <a:ext uri="{FF2B5EF4-FFF2-40B4-BE49-F238E27FC236}">
              <a16:creationId xmlns:a16="http://schemas.microsoft.com/office/drawing/2014/main" id="{FD43C4FF-12C4-A8BE-A4C0-B682D31CAB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39311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</xdr:row>
      <xdr:rowOff>39461</xdr:rowOff>
    </xdr:from>
    <xdr:to>
      <xdr:col>17</xdr:col>
      <xdr:colOff>2868386</xdr:colOff>
      <xdr:row>7</xdr:row>
      <xdr:rowOff>1628775</xdr:rowOff>
    </xdr:to>
    <xdr:pic>
      <xdr:nvPicPr>
        <xdr:cNvPr id="45" name="_x909180432">
          <a:extLst>
            <a:ext uri="{FF2B5EF4-FFF2-40B4-BE49-F238E27FC236}">
              <a16:creationId xmlns:a16="http://schemas.microsoft.com/office/drawing/2014/main" id="{06182E92-9105-4C77-BE20-3FB43164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57756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8</xdr:row>
      <xdr:rowOff>39461</xdr:rowOff>
    </xdr:from>
    <xdr:to>
      <xdr:col>17</xdr:col>
      <xdr:colOff>2868386</xdr:colOff>
      <xdr:row>8</xdr:row>
      <xdr:rowOff>1628775</xdr:rowOff>
    </xdr:to>
    <xdr:pic>
      <xdr:nvPicPr>
        <xdr:cNvPr id="46" name="_x909179064">
          <a:extLst>
            <a:ext uri="{FF2B5EF4-FFF2-40B4-BE49-F238E27FC236}">
              <a16:creationId xmlns:a16="http://schemas.microsoft.com/office/drawing/2014/main" id="{132502D9-6EFD-4F5E-4486-3D141386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7224032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9</xdr:row>
      <xdr:rowOff>39460</xdr:rowOff>
    </xdr:from>
    <xdr:to>
      <xdr:col>17</xdr:col>
      <xdr:colOff>2868386</xdr:colOff>
      <xdr:row>9</xdr:row>
      <xdr:rowOff>1628775</xdr:rowOff>
    </xdr:to>
    <xdr:pic>
      <xdr:nvPicPr>
        <xdr:cNvPr id="47" name="_x909165528">
          <a:extLst>
            <a:ext uri="{FF2B5EF4-FFF2-40B4-BE49-F238E27FC236}">
              <a16:creationId xmlns:a16="http://schemas.microsoft.com/office/drawing/2014/main" id="{32E2B8B3-2677-1847-4E0D-41F4F0B55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8870496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10</xdr:row>
      <xdr:rowOff>25854</xdr:rowOff>
    </xdr:from>
    <xdr:to>
      <xdr:col>17</xdr:col>
      <xdr:colOff>2854779</xdr:colOff>
      <xdr:row>10</xdr:row>
      <xdr:rowOff>1615168</xdr:rowOff>
    </xdr:to>
    <xdr:pic>
      <xdr:nvPicPr>
        <xdr:cNvPr id="48" name="_x721760728">
          <a:extLst>
            <a:ext uri="{FF2B5EF4-FFF2-40B4-BE49-F238E27FC236}">
              <a16:creationId xmlns:a16="http://schemas.microsoft.com/office/drawing/2014/main" id="{6EF8AD91-1550-BF29-3652-62CEF1998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050335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11</xdr:row>
      <xdr:rowOff>25854</xdr:rowOff>
    </xdr:from>
    <xdr:to>
      <xdr:col>17</xdr:col>
      <xdr:colOff>2854779</xdr:colOff>
      <xdr:row>11</xdr:row>
      <xdr:rowOff>1615168</xdr:rowOff>
    </xdr:to>
    <xdr:pic>
      <xdr:nvPicPr>
        <xdr:cNvPr id="49" name="_x721762672">
          <a:extLst>
            <a:ext uri="{FF2B5EF4-FFF2-40B4-BE49-F238E27FC236}">
              <a16:creationId xmlns:a16="http://schemas.microsoft.com/office/drawing/2014/main" id="{F37FD207-A697-E656-F793-6480532E6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214981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12</xdr:row>
      <xdr:rowOff>25853</xdr:rowOff>
    </xdr:from>
    <xdr:to>
      <xdr:col>17</xdr:col>
      <xdr:colOff>2854779</xdr:colOff>
      <xdr:row>12</xdr:row>
      <xdr:rowOff>1615168</xdr:rowOff>
    </xdr:to>
    <xdr:pic>
      <xdr:nvPicPr>
        <xdr:cNvPr id="50" name="_x721761088">
          <a:extLst>
            <a:ext uri="{FF2B5EF4-FFF2-40B4-BE49-F238E27FC236}">
              <a16:creationId xmlns:a16="http://schemas.microsoft.com/office/drawing/2014/main" id="{CA3A1A02-2652-FFCD-8967-5C0AD5F7E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3796282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13</xdr:row>
      <xdr:rowOff>25854</xdr:rowOff>
    </xdr:from>
    <xdr:to>
      <xdr:col>17</xdr:col>
      <xdr:colOff>2854779</xdr:colOff>
      <xdr:row>13</xdr:row>
      <xdr:rowOff>1615168</xdr:rowOff>
    </xdr:to>
    <xdr:pic>
      <xdr:nvPicPr>
        <xdr:cNvPr id="51" name="_x721761232">
          <a:extLst>
            <a:ext uri="{FF2B5EF4-FFF2-40B4-BE49-F238E27FC236}">
              <a16:creationId xmlns:a16="http://schemas.microsoft.com/office/drawing/2014/main" id="{6BEA430B-67ED-88BA-E0E4-D98373847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442747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14</xdr:row>
      <xdr:rowOff>25854</xdr:rowOff>
    </xdr:from>
    <xdr:to>
      <xdr:col>17</xdr:col>
      <xdr:colOff>2854779</xdr:colOff>
      <xdr:row>14</xdr:row>
      <xdr:rowOff>1615168</xdr:rowOff>
    </xdr:to>
    <xdr:pic>
      <xdr:nvPicPr>
        <xdr:cNvPr id="52" name="_x721763320">
          <a:extLst>
            <a:ext uri="{FF2B5EF4-FFF2-40B4-BE49-F238E27FC236}">
              <a16:creationId xmlns:a16="http://schemas.microsoft.com/office/drawing/2014/main" id="{475F3F52-8ACA-84EC-552F-F68E2571E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70892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15</xdr:row>
      <xdr:rowOff>23132</xdr:rowOff>
    </xdr:from>
    <xdr:to>
      <xdr:col>17</xdr:col>
      <xdr:colOff>2854779</xdr:colOff>
      <xdr:row>15</xdr:row>
      <xdr:rowOff>1613807</xdr:rowOff>
    </xdr:to>
    <xdr:pic>
      <xdr:nvPicPr>
        <xdr:cNvPr id="58" name="_x909955912">
          <a:extLst>
            <a:ext uri="{FF2B5EF4-FFF2-40B4-BE49-F238E27FC236}">
              <a16:creationId xmlns:a16="http://schemas.microsoft.com/office/drawing/2014/main" id="{7FAEB2D9-0DFF-48CB-DE8E-936C3273C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8732953"/>
          <a:ext cx="27051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16</xdr:row>
      <xdr:rowOff>25852</xdr:rowOff>
    </xdr:from>
    <xdr:to>
      <xdr:col>17</xdr:col>
      <xdr:colOff>2841172</xdr:colOff>
      <xdr:row>16</xdr:row>
      <xdr:rowOff>1615167</xdr:rowOff>
    </xdr:to>
    <xdr:pic>
      <xdr:nvPicPr>
        <xdr:cNvPr id="59" name="_x909956776">
          <a:extLst>
            <a:ext uri="{FF2B5EF4-FFF2-40B4-BE49-F238E27FC236}">
              <a16:creationId xmlns:a16="http://schemas.microsoft.com/office/drawing/2014/main" id="{B4FD7907-A9EC-0C55-B46C-59B41EAFD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0382138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17</xdr:row>
      <xdr:rowOff>25853</xdr:rowOff>
    </xdr:from>
    <xdr:to>
      <xdr:col>17</xdr:col>
      <xdr:colOff>2841172</xdr:colOff>
      <xdr:row>17</xdr:row>
      <xdr:rowOff>1615167</xdr:rowOff>
    </xdr:to>
    <xdr:pic>
      <xdr:nvPicPr>
        <xdr:cNvPr id="60" name="_x909955696">
          <a:extLst>
            <a:ext uri="{FF2B5EF4-FFF2-40B4-BE49-F238E27FC236}">
              <a16:creationId xmlns:a16="http://schemas.microsoft.com/office/drawing/2014/main" id="{729F1296-E284-0C61-11E9-B41662573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2028603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18</xdr:row>
      <xdr:rowOff>25853</xdr:rowOff>
    </xdr:from>
    <xdr:to>
      <xdr:col>17</xdr:col>
      <xdr:colOff>2841172</xdr:colOff>
      <xdr:row>18</xdr:row>
      <xdr:rowOff>1615167</xdr:rowOff>
    </xdr:to>
    <xdr:pic>
      <xdr:nvPicPr>
        <xdr:cNvPr id="61" name="_x909956560">
          <a:extLst>
            <a:ext uri="{FF2B5EF4-FFF2-40B4-BE49-F238E27FC236}">
              <a16:creationId xmlns:a16="http://schemas.microsoft.com/office/drawing/2014/main" id="{A1B2B9CF-7BDF-6968-943C-84499EFED6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3675067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136072</xdr:colOff>
      <xdr:row>19</xdr:row>
      <xdr:rowOff>25852</xdr:rowOff>
    </xdr:from>
    <xdr:to>
      <xdr:col>17</xdr:col>
      <xdr:colOff>2841172</xdr:colOff>
      <xdr:row>19</xdr:row>
      <xdr:rowOff>1615167</xdr:rowOff>
    </xdr:to>
    <xdr:pic>
      <xdr:nvPicPr>
        <xdr:cNvPr id="62" name="_x909956704">
          <a:extLst>
            <a:ext uri="{FF2B5EF4-FFF2-40B4-BE49-F238E27FC236}">
              <a16:creationId xmlns:a16="http://schemas.microsoft.com/office/drawing/2014/main" id="{3DE8CC83-2527-BDAC-CC72-BECAB1BF1B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5" y="25321531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20</xdr:row>
      <xdr:rowOff>39461</xdr:rowOff>
    </xdr:from>
    <xdr:to>
      <xdr:col>17</xdr:col>
      <xdr:colOff>2881993</xdr:colOff>
      <xdr:row>20</xdr:row>
      <xdr:rowOff>1628775</xdr:rowOff>
    </xdr:to>
    <xdr:pic>
      <xdr:nvPicPr>
        <xdr:cNvPr id="63" name="_x20174560">
          <a:extLst>
            <a:ext uri="{FF2B5EF4-FFF2-40B4-BE49-F238E27FC236}">
              <a16:creationId xmlns:a16="http://schemas.microsoft.com/office/drawing/2014/main" id="{01A5BC56-1E8A-2F88-525D-F60A0CFFA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69816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21</xdr:row>
      <xdr:rowOff>39461</xdr:rowOff>
    </xdr:from>
    <xdr:to>
      <xdr:col>17</xdr:col>
      <xdr:colOff>2881993</xdr:colOff>
      <xdr:row>21</xdr:row>
      <xdr:rowOff>1628775</xdr:rowOff>
    </xdr:to>
    <xdr:pic>
      <xdr:nvPicPr>
        <xdr:cNvPr id="64" name="_x20175064">
          <a:extLst>
            <a:ext uri="{FF2B5EF4-FFF2-40B4-BE49-F238E27FC236}">
              <a16:creationId xmlns:a16="http://schemas.microsoft.com/office/drawing/2014/main" id="{05059B8A-3D8B-79AC-6C19-917169733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862806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22</xdr:row>
      <xdr:rowOff>39461</xdr:rowOff>
    </xdr:from>
    <xdr:to>
      <xdr:col>17</xdr:col>
      <xdr:colOff>2881993</xdr:colOff>
      <xdr:row>22</xdr:row>
      <xdr:rowOff>1628775</xdr:rowOff>
    </xdr:to>
    <xdr:pic>
      <xdr:nvPicPr>
        <xdr:cNvPr id="65" name="_x908994808">
          <a:extLst>
            <a:ext uri="{FF2B5EF4-FFF2-40B4-BE49-F238E27FC236}">
              <a16:creationId xmlns:a16="http://schemas.microsoft.com/office/drawing/2014/main" id="{F6EDEE9D-BA20-EC36-774F-2FC1CE743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0274532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23</xdr:row>
      <xdr:rowOff>39460</xdr:rowOff>
    </xdr:from>
    <xdr:to>
      <xdr:col>17</xdr:col>
      <xdr:colOff>2881993</xdr:colOff>
      <xdr:row>23</xdr:row>
      <xdr:rowOff>1628775</xdr:rowOff>
    </xdr:to>
    <xdr:pic>
      <xdr:nvPicPr>
        <xdr:cNvPr id="66" name="_x908994088">
          <a:extLst>
            <a:ext uri="{FF2B5EF4-FFF2-40B4-BE49-F238E27FC236}">
              <a16:creationId xmlns:a16="http://schemas.microsoft.com/office/drawing/2014/main" id="{CF65A063-92FC-4723-FAF4-EE9214B32D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1920996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24</xdr:row>
      <xdr:rowOff>39461</xdr:rowOff>
    </xdr:from>
    <xdr:to>
      <xdr:col>17</xdr:col>
      <xdr:colOff>2881993</xdr:colOff>
      <xdr:row>24</xdr:row>
      <xdr:rowOff>1628775</xdr:rowOff>
    </xdr:to>
    <xdr:pic>
      <xdr:nvPicPr>
        <xdr:cNvPr id="67" name="_x908993296">
          <a:extLst>
            <a:ext uri="{FF2B5EF4-FFF2-40B4-BE49-F238E27FC236}">
              <a16:creationId xmlns:a16="http://schemas.microsoft.com/office/drawing/2014/main" id="{754B82D9-CC50-4A3A-ADE3-AC7868E6B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35674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25</xdr:row>
      <xdr:rowOff>25854</xdr:rowOff>
    </xdr:from>
    <xdr:to>
      <xdr:col>17</xdr:col>
      <xdr:colOff>2868386</xdr:colOff>
      <xdr:row>25</xdr:row>
      <xdr:rowOff>1615168</xdr:rowOff>
    </xdr:to>
    <xdr:pic>
      <xdr:nvPicPr>
        <xdr:cNvPr id="68" name="_x907239200">
          <a:extLst>
            <a:ext uri="{FF2B5EF4-FFF2-40B4-BE49-F238E27FC236}">
              <a16:creationId xmlns:a16="http://schemas.microsoft.com/office/drawing/2014/main" id="{4173476D-2C1C-8B82-EA60-9DDF19D1B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3520031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26</xdr:row>
      <xdr:rowOff>25853</xdr:rowOff>
    </xdr:from>
    <xdr:to>
      <xdr:col>17</xdr:col>
      <xdr:colOff>2868386</xdr:colOff>
      <xdr:row>26</xdr:row>
      <xdr:rowOff>1615168</xdr:rowOff>
    </xdr:to>
    <xdr:pic>
      <xdr:nvPicPr>
        <xdr:cNvPr id="69" name="_x907239920">
          <a:extLst>
            <a:ext uri="{FF2B5EF4-FFF2-40B4-BE49-F238E27FC236}">
              <a16:creationId xmlns:a16="http://schemas.microsoft.com/office/drawing/2014/main" id="{58567426-356A-84F8-1186-B0997D7DC9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36846782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27</xdr:row>
      <xdr:rowOff>25854</xdr:rowOff>
    </xdr:from>
    <xdr:to>
      <xdr:col>17</xdr:col>
      <xdr:colOff>2868386</xdr:colOff>
      <xdr:row>27</xdr:row>
      <xdr:rowOff>1615168</xdr:rowOff>
    </xdr:to>
    <xdr:pic>
      <xdr:nvPicPr>
        <xdr:cNvPr id="70" name="_x911859176">
          <a:extLst>
            <a:ext uri="{FF2B5EF4-FFF2-40B4-BE49-F238E27FC236}">
              <a16:creationId xmlns:a16="http://schemas.microsoft.com/office/drawing/2014/main" id="{C1B05FA9-9243-3C63-7A40-DC39FFFFC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38493247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28</xdr:row>
      <xdr:rowOff>25854</xdr:rowOff>
    </xdr:from>
    <xdr:to>
      <xdr:col>17</xdr:col>
      <xdr:colOff>2868386</xdr:colOff>
      <xdr:row>28</xdr:row>
      <xdr:rowOff>1615168</xdr:rowOff>
    </xdr:to>
    <xdr:pic>
      <xdr:nvPicPr>
        <xdr:cNvPr id="71" name="_x911858528">
          <a:extLst>
            <a:ext uri="{FF2B5EF4-FFF2-40B4-BE49-F238E27FC236}">
              <a16:creationId xmlns:a16="http://schemas.microsoft.com/office/drawing/2014/main" id="{83B7E91D-42B2-96F0-9318-2304B0486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401397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29</xdr:row>
      <xdr:rowOff>25854</xdr:rowOff>
    </xdr:from>
    <xdr:to>
      <xdr:col>17</xdr:col>
      <xdr:colOff>2868386</xdr:colOff>
      <xdr:row>29</xdr:row>
      <xdr:rowOff>1615168</xdr:rowOff>
    </xdr:to>
    <xdr:pic>
      <xdr:nvPicPr>
        <xdr:cNvPr id="72" name="_x911859464">
          <a:extLst>
            <a:ext uri="{FF2B5EF4-FFF2-40B4-BE49-F238E27FC236}">
              <a16:creationId xmlns:a16="http://schemas.microsoft.com/office/drawing/2014/main" id="{74805796-B7C9-46FC-DA0D-9827B1767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41786175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176892</xdr:colOff>
      <xdr:row>30</xdr:row>
      <xdr:rowOff>25853</xdr:rowOff>
    </xdr:from>
    <xdr:to>
      <xdr:col>17</xdr:col>
      <xdr:colOff>2881992</xdr:colOff>
      <xdr:row>30</xdr:row>
      <xdr:rowOff>1615168</xdr:rowOff>
    </xdr:to>
    <xdr:pic>
      <xdr:nvPicPr>
        <xdr:cNvPr id="73" name="_x908567024">
          <a:extLst>
            <a:ext uri="{FF2B5EF4-FFF2-40B4-BE49-F238E27FC236}">
              <a16:creationId xmlns:a16="http://schemas.microsoft.com/office/drawing/2014/main" id="{61674198-6A53-A72A-5EE8-945F3A116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5" y="43432639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176892</xdr:colOff>
      <xdr:row>31</xdr:row>
      <xdr:rowOff>25854</xdr:rowOff>
    </xdr:from>
    <xdr:to>
      <xdr:col>17</xdr:col>
      <xdr:colOff>2881992</xdr:colOff>
      <xdr:row>31</xdr:row>
      <xdr:rowOff>1615168</xdr:rowOff>
    </xdr:to>
    <xdr:pic>
      <xdr:nvPicPr>
        <xdr:cNvPr id="74" name="_x908569904">
          <a:extLst>
            <a:ext uri="{FF2B5EF4-FFF2-40B4-BE49-F238E27FC236}">
              <a16:creationId xmlns:a16="http://schemas.microsoft.com/office/drawing/2014/main" id="{584950C9-BCF0-DB68-10A1-B36689B9EC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5" y="450791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163286</xdr:colOff>
      <xdr:row>4</xdr:row>
      <xdr:rowOff>39460</xdr:rowOff>
    </xdr:from>
    <xdr:to>
      <xdr:col>1</xdr:col>
      <xdr:colOff>2868386</xdr:colOff>
      <xdr:row>4</xdr:row>
      <xdr:rowOff>1628775</xdr:rowOff>
    </xdr:to>
    <xdr:pic>
      <xdr:nvPicPr>
        <xdr:cNvPr id="2" name="_x909180144">
          <a:extLst>
            <a:ext uri="{FF2B5EF4-FFF2-40B4-BE49-F238E27FC236}">
              <a16:creationId xmlns:a16="http://schemas.microsoft.com/office/drawing/2014/main" id="{F9BA9FC6-D094-4E84-9890-E9D1A42B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2296885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5</xdr:row>
      <xdr:rowOff>39461</xdr:rowOff>
    </xdr:from>
    <xdr:to>
      <xdr:col>1</xdr:col>
      <xdr:colOff>2868386</xdr:colOff>
      <xdr:row>5</xdr:row>
      <xdr:rowOff>1628775</xdr:rowOff>
    </xdr:to>
    <xdr:pic>
      <xdr:nvPicPr>
        <xdr:cNvPr id="3" name="_x909180072">
          <a:extLst>
            <a:ext uri="{FF2B5EF4-FFF2-40B4-BE49-F238E27FC236}">
              <a16:creationId xmlns:a16="http://schemas.microsoft.com/office/drawing/2014/main" id="{897D6DF5-4469-4A69-BDBB-4728F2A27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9447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</xdr:row>
      <xdr:rowOff>39461</xdr:rowOff>
    </xdr:from>
    <xdr:to>
      <xdr:col>1</xdr:col>
      <xdr:colOff>2868386</xdr:colOff>
      <xdr:row>6</xdr:row>
      <xdr:rowOff>1628775</xdr:rowOff>
    </xdr:to>
    <xdr:pic>
      <xdr:nvPicPr>
        <xdr:cNvPr id="4" name="_x909180432">
          <a:extLst>
            <a:ext uri="{FF2B5EF4-FFF2-40B4-BE49-F238E27FC236}">
              <a16:creationId xmlns:a16="http://schemas.microsoft.com/office/drawing/2014/main" id="{9AE86998-7DE5-466A-8D37-7DD77D01B9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592536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7</xdr:row>
      <xdr:rowOff>39461</xdr:rowOff>
    </xdr:from>
    <xdr:to>
      <xdr:col>1</xdr:col>
      <xdr:colOff>2868386</xdr:colOff>
      <xdr:row>7</xdr:row>
      <xdr:rowOff>1628775</xdr:rowOff>
    </xdr:to>
    <xdr:pic>
      <xdr:nvPicPr>
        <xdr:cNvPr id="5" name="_x909179064">
          <a:extLst>
            <a:ext uri="{FF2B5EF4-FFF2-40B4-BE49-F238E27FC236}">
              <a16:creationId xmlns:a16="http://schemas.microsoft.com/office/drawing/2014/main" id="{F85AE33C-E415-4569-B49D-1286ECF55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72403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8</xdr:row>
      <xdr:rowOff>39460</xdr:rowOff>
    </xdr:from>
    <xdr:to>
      <xdr:col>1</xdr:col>
      <xdr:colOff>2868386</xdr:colOff>
      <xdr:row>8</xdr:row>
      <xdr:rowOff>1628775</xdr:rowOff>
    </xdr:to>
    <xdr:pic>
      <xdr:nvPicPr>
        <xdr:cNvPr id="6" name="_x909165528">
          <a:extLst>
            <a:ext uri="{FF2B5EF4-FFF2-40B4-BE49-F238E27FC236}">
              <a16:creationId xmlns:a16="http://schemas.microsoft.com/office/drawing/2014/main" id="{F0828CCC-9497-4A87-8865-73D23340E9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8888185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</xdr:row>
      <xdr:rowOff>25854</xdr:rowOff>
    </xdr:from>
    <xdr:to>
      <xdr:col>1</xdr:col>
      <xdr:colOff>2854779</xdr:colOff>
      <xdr:row>9</xdr:row>
      <xdr:rowOff>1615168</xdr:rowOff>
    </xdr:to>
    <xdr:pic>
      <xdr:nvPicPr>
        <xdr:cNvPr id="7" name="_x721760728">
          <a:extLst>
            <a:ext uri="{FF2B5EF4-FFF2-40B4-BE49-F238E27FC236}">
              <a16:creationId xmlns:a16="http://schemas.microsoft.com/office/drawing/2014/main" id="{C9F96BA5-1D86-4146-93A5-3F33985848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05224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10</xdr:row>
      <xdr:rowOff>25854</xdr:rowOff>
    </xdr:from>
    <xdr:to>
      <xdr:col>1</xdr:col>
      <xdr:colOff>2854779</xdr:colOff>
      <xdr:row>10</xdr:row>
      <xdr:rowOff>1615168</xdr:rowOff>
    </xdr:to>
    <xdr:pic>
      <xdr:nvPicPr>
        <xdr:cNvPr id="8" name="_x721762672">
          <a:extLst>
            <a:ext uri="{FF2B5EF4-FFF2-40B4-BE49-F238E27FC236}">
              <a16:creationId xmlns:a16="http://schemas.microsoft.com/office/drawing/2014/main" id="{23FC495F-1BF3-4255-BBFD-89C94A20E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217022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11</xdr:row>
      <xdr:rowOff>25853</xdr:rowOff>
    </xdr:from>
    <xdr:to>
      <xdr:col>1</xdr:col>
      <xdr:colOff>2854779</xdr:colOff>
      <xdr:row>11</xdr:row>
      <xdr:rowOff>1615168</xdr:rowOff>
    </xdr:to>
    <xdr:pic>
      <xdr:nvPicPr>
        <xdr:cNvPr id="9" name="_x721761088">
          <a:extLst>
            <a:ext uri="{FF2B5EF4-FFF2-40B4-BE49-F238E27FC236}">
              <a16:creationId xmlns:a16="http://schemas.microsoft.com/office/drawing/2014/main" id="{D369B73F-5FCC-4BF9-B4C2-8DFA4711D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3818053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12</xdr:row>
      <xdr:rowOff>25854</xdr:rowOff>
    </xdr:from>
    <xdr:to>
      <xdr:col>1</xdr:col>
      <xdr:colOff>2854779</xdr:colOff>
      <xdr:row>12</xdr:row>
      <xdr:rowOff>1615168</xdr:rowOff>
    </xdr:to>
    <xdr:pic>
      <xdr:nvPicPr>
        <xdr:cNvPr id="10" name="_x721761232">
          <a:extLst>
            <a:ext uri="{FF2B5EF4-FFF2-40B4-BE49-F238E27FC236}">
              <a16:creationId xmlns:a16="http://schemas.microsoft.com/office/drawing/2014/main" id="{16969667-1C4E-4B63-AF0B-35977006A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46587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13</xdr:row>
      <xdr:rowOff>25854</xdr:rowOff>
    </xdr:from>
    <xdr:to>
      <xdr:col>1</xdr:col>
      <xdr:colOff>2854779</xdr:colOff>
      <xdr:row>13</xdr:row>
      <xdr:rowOff>1615168</xdr:rowOff>
    </xdr:to>
    <xdr:pic>
      <xdr:nvPicPr>
        <xdr:cNvPr id="11" name="_x721763320">
          <a:extLst>
            <a:ext uri="{FF2B5EF4-FFF2-40B4-BE49-F238E27FC236}">
              <a16:creationId xmlns:a16="http://schemas.microsoft.com/office/drawing/2014/main" id="{0ED7F5A2-DB0B-4538-86E8-C564FC887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711370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14</xdr:row>
      <xdr:rowOff>23132</xdr:rowOff>
    </xdr:from>
    <xdr:to>
      <xdr:col>1</xdr:col>
      <xdr:colOff>2854779</xdr:colOff>
      <xdr:row>14</xdr:row>
      <xdr:rowOff>1613807</xdr:rowOff>
    </xdr:to>
    <xdr:pic>
      <xdr:nvPicPr>
        <xdr:cNvPr id="12" name="_x909955912">
          <a:extLst>
            <a:ext uri="{FF2B5EF4-FFF2-40B4-BE49-F238E27FC236}">
              <a16:creationId xmlns:a16="http://schemas.microsoft.com/office/drawing/2014/main" id="{4E7FF92A-2D49-41EF-803C-5C34D8ABD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8758807"/>
          <a:ext cx="27051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15</xdr:row>
      <xdr:rowOff>25852</xdr:rowOff>
    </xdr:from>
    <xdr:to>
      <xdr:col>1</xdr:col>
      <xdr:colOff>2841172</xdr:colOff>
      <xdr:row>15</xdr:row>
      <xdr:rowOff>1615167</xdr:rowOff>
    </xdr:to>
    <xdr:pic>
      <xdr:nvPicPr>
        <xdr:cNvPr id="13" name="_x909956776">
          <a:extLst>
            <a:ext uri="{FF2B5EF4-FFF2-40B4-BE49-F238E27FC236}">
              <a16:creationId xmlns:a16="http://schemas.microsoft.com/office/drawing/2014/main" id="{F1B55DBD-F9A0-4318-BADD-8A96A8A46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0409352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16</xdr:row>
      <xdr:rowOff>25853</xdr:rowOff>
    </xdr:from>
    <xdr:to>
      <xdr:col>1</xdr:col>
      <xdr:colOff>2841172</xdr:colOff>
      <xdr:row>16</xdr:row>
      <xdr:rowOff>1615167</xdr:rowOff>
    </xdr:to>
    <xdr:pic>
      <xdr:nvPicPr>
        <xdr:cNvPr id="14" name="_x909955696">
          <a:extLst>
            <a:ext uri="{FF2B5EF4-FFF2-40B4-BE49-F238E27FC236}">
              <a16:creationId xmlns:a16="http://schemas.microsoft.com/office/drawing/2014/main" id="{FF2469E5-FFC3-4A2A-98E3-6BBBE46DF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2057178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17</xdr:row>
      <xdr:rowOff>25853</xdr:rowOff>
    </xdr:from>
    <xdr:to>
      <xdr:col>1</xdr:col>
      <xdr:colOff>2841172</xdr:colOff>
      <xdr:row>17</xdr:row>
      <xdr:rowOff>1615167</xdr:rowOff>
    </xdr:to>
    <xdr:pic>
      <xdr:nvPicPr>
        <xdr:cNvPr id="15" name="_x909956560">
          <a:extLst>
            <a:ext uri="{FF2B5EF4-FFF2-40B4-BE49-F238E27FC236}">
              <a16:creationId xmlns:a16="http://schemas.microsoft.com/office/drawing/2014/main" id="{2C330C7E-0CA9-4EC4-9524-005F6A3840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3705003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136072</xdr:colOff>
      <xdr:row>18</xdr:row>
      <xdr:rowOff>25852</xdr:rowOff>
    </xdr:from>
    <xdr:to>
      <xdr:col>1</xdr:col>
      <xdr:colOff>2841172</xdr:colOff>
      <xdr:row>18</xdr:row>
      <xdr:rowOff>1615167</xdr:rowOff>
    </xdr:to>
    <xdr:pic>
      <xdr:nvPicPr>
        <xdr:cNvPr id="16" name="_x909956704">
          <a:extLst>
            <a:ext uri="{FF2B5EF4-FFF2-40B4-BE49-F238E27FC236}">
              <a16:creationId xmlns:a16="http://schemas.microsoft.com/office/drawing/2014/main" id="{C26992C9-A8F6-4899-B8E3-010FCB44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7" y="25352827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19</xdr:row>
      <xdr:rowOff>39461</xdr:rowOff>
    </xdr:from>
    <xdr:to>
      <xdr:col>1</xdr:col>
      <xdr:colOff>2881993</xdr:colOff>
      <xdr:row>19</xdr:row>
      <xdr:rowOff>1628775</xdr:rowOff>
    </xdr:to>
    <xdr:pic>
      <xdr:nvPicPr>
        <xdr:cNvPr id="17" name="_x20174560">
          <a:extLst>
            <a:ext uri="{FF2B5EF4-FFF2-40B4-BE49-F238E27FC236}">
              <a16:creationId xmlns:a16="http://schemas.microsoft.com/office/drawing/2014/main" id="{39737BFC-91A9-426C-B85B-8A16DAE5E8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70142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20</xdr:row>
      <xdr:rowOff>39461</xdr:rowOff>
    </xdr:from>
    <xdr:to>
      <xdr:col>1</xdr:col>
      <xdr:colOff>2881993</xdr:colOff>
      <xdr:row>20</xdr:row>
      <xdr:rowOff>1628775</xdr:rowOff>
    </xdr:to>
    <xdr:pic>
      <xdr:nvPicPr>
        <xdr:cNvPr id="18" name="_x20175064">
          <a:extLst>
            <a:ext uri="{FF2B5EF4-FFF2-40B4-BE49-F238E27FC236}">
              <a16:creationId xmlns:a16="http://schemas.microsoft.com/office/drawing/2014/main" id="{5C29FD6C-E791-4C24-871B-36A3076E2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8662086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21</xdr:row>
      <xdr:rowOff>39461</xdr:rowOff>
    </xdr:from>
    <xdr:to>
      <xdr:col>1</xdr:col>
      <xdr:colOff>2881993</xdr:colOff>
      <xdr:row>21</xdr:row>
      <xdr:rowOff>1628775</xdr:rowOff>
    </xdr:to>
    <xdr:pic>
      <xdr:nvPicPr>
        <xdr:cNvPr id="19" name="_x908994808">
          <a:extLst>
            <a:ext uri="{FF2B5EF4-FFF2-40B4-BE49-F238E27FC236}">
              <a16:creationId xmlns:a16="http://schemas.microsoft.com/office/drawing/2014/main" id="{53644AC8-CFC2-4D9E-8960-0DDCD6426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030991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22</xdr:row>
      <xdr:rowOff>39460</xdr:rowOff>
    </xdr:from>
    <xdr:to>
      <xdr:col>1</xdr:col>
      <xdr:colOff>2881993</xdr:colOff>
      <xdr:row>22</xdr:row>
      <xdr:rowOff>1628775</xdr:rowOff>
    </xdr:to>
    <xdr:pic>
      <xdr:nvPicPr>
        <xdr:cNvPr id="20" name="_x908994088">
          <a:extLst>
            <a:ext uri="{FF2B5EF4-FFF2-40B4-BE49-F238E27FC236}">
              <a16:creationId xmlns:a16="http://schemas.microsoft.com/office/drawing/2014/main" id="{4FEA78B2-A520-4EEA-9427-2C5476191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1957735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23</xdr:row>
      <xdr:rowOff>39461</xdr:rowOff>
    </xdr:from>
    <xdr:to>
      <xdr:col>1</xdr:col>
      <xdr:colOff>2881993</xdr:colOff>
      <xdr:row>23</xdr:row>
      <xdr:rowOff>1628775</xdr:rowOff>
    </xdr:to>
    <xdr:pic>
      <xdr:nvPicPr>
        <xdr:cNvPr id="21" name="_x908993296">
          <a:extLst>
            <a:ext uri="{FF2B5EF4-FFF2-40B4-BE49-F238E27FC236}">
              <a16:creationId xmlns:a16="http://schemas.microsoft.com/office/drawing/2014/main" id="{B7FB9F22-447D-412C-A807-53DD30A80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3605561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24</xdr:row>
      <xdr:rowOff>25854</xdr:rowOff>
    </xdr:from>
    <xdr:to>
      <xdr:col>1</xdr:col>
      <xdr:colOff>2868386</xdr:colOff>
      <xdr:row>24</xdr:row>
      <xdr:rowOff>1615168</xdr:rowOff>
    </xdr:to>
    <xdr:pic>
      <xdr:nvPicPr>
        <xdr:cNvPr id="22" name="_x907239200">
          <a:extLst>
            <a:ext uri="{FF2B5EF4-FFF2-40B4-BE49-F238E27FC236}">
              <a16:creationId xmlns:a16="http://schemas.microsoft.com/office/drawing/2014/main" id="{2A6E715B-114B-4EC2-9BD5-AF5BC7F8B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523977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25</xdr:row>
      <xdr:rowOff>25853</xdr:rowOff>
    </xdr:from>
    <xdr:to>
      <xdr:col>1</xdr:col>
      <xdr:colOff>2868386</xdr:colOff>
      <xdr:row>25</xdr:row>
      <xdr:rowOff>1615168</xdr:rowOff>
    </xdr:to>
    <xdr:pic>
      <xdr:nvPicPr>
        <xdr:cNvPr id="23" name="_x907239920">
          <a:extLst>
            <a:ext uri="{FF2B5EF4-FFF2-40B4-BE49-F238E27FC236}">
              <a16:creationId xmlns:a16="http://schemas.microsoft.com/office/drawing/2014/main" id="{7476E837-6A3F-4189-B2A9-0A03107D9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6887603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26</xdr:row>
      <xdr:rowOff>25854</xdr:rowOff>
    </xdr:from>
    <xdr:to>
      <xdr:col>1</xdr:col>
      <xdr:colOff>2868386</xdr:colOff>
      <xdr:row>26</xdr:row>
      <xdr:rowOff>1615168</xdr:rowOff>
    </xdr:to>
    <xdr:pic>
      <xdr:nvPicPr>
        <xdr:cNvPr id="24" name="_x911859176">
          <a:extLst>
            <a:ext uri="{FF2B5EF4-FFF2-40B4-BE49-F238E27FC236}">
              <a16:creationId xmlns:a16="http://schemas.microsoft.com/office/drawing/2014/main" id="{45A2D6E6-A799-4CB4-A7DD-83A7A61F23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3853542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27</xdr:row>
      <xdr:rowOff>25854</xdr:rowOff>
    </xdr:from>
    <xdr:to>
      <xdr:col>1</xdr:col>
      <xdr:colOff>2868386</xdr:colOff>
      <xdr:row>27</xdr:row>
      <xdr:rowOff>1615168</xdr:rowOff>
    </xdr:to>
    <xdr:pic>
      <xdr:nvPicPr>
        <xdr:cNvPr id="25" name="_x911858528">
          <a:extLst>
            <a:ext uri="{FF2B5EF4-FFF2-40B4-BE49-F238E27FC236}">
              <a16:creationId xmlns:a16="http://schemas.microsoft.com/office/drawing/2014/main" id="{CA52F09E-EAF9-441A-9FDA-0798C257F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40183254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28</xdr:row>
      <xdr:rowOff>25854</xdr:rowOff>
    </xdr:from>
    <xdr:to>
      <xdr:col>1</xdr:col>
      <xdr:colOff>2868386</xdr:colOff>
      <xdr:row>28</xdr:row>
      <xdr:rowOff>1615168</xdr:rowOff>
    </xdr:to>
    <xdr:pic>
      <xdr:nvPicPr>
        <xdr:cNvPr id="26" name="_x911859464">
          <a:extLst>
            <a:ext uri="{FF2B5EF4-FFF2-40B4-BE49-F238E27FC236}">
              <a16:creationId xmlns:a16="http://schemas.microsoft.com/office/drawing/2014/main" id="{2B001F9F-F390-40DF-933D-20D4D7AEB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4183107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176892</xdr:colOff>
      <xdr:row>29</xdr:row>
      <xdr:rowOff>25853</xdr:rowOff>
    </xdr:from>
    <xdr:to>
      <xdr:col>1</xdr:col>
      <xdr:colOff>2881992</xdr:colOff>
      <xdr:row>29</xdr:row>
      <xdr:rowOff>1615168</xdr:rowOff>
    </xdr:to>
    <xdr:pic>
      <xdr:nvPicPr>
        <xdr:cNvPr id="27" name="_x908567024">
          <a:extLst>
            <a:ext uri="{FF2B5EF4-FFF2-40B4-BE49-F238E27FC236}">
              <a16:creationId xmlns:a16="http://schemas.microsoft.com/office/drawing/2014/main" id="{CDC6A1EB-CA06-4BEB-B670-CCDDBD39D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7" y="43478903"/>
          <a:ext cx="27051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176892</xdr:colOff>
      <xdr:row>30</xdr:row>
      <xdr:rowOff>25854</xdr:rowOff>
    </xdr:from>
    <xdr:to>
      <xdr:col>1</xdr:col>
      <xdr:colOff>2881992</xdr:colOff>
      <xdr:row>30</xdr:row>
      <xdr:rowOff>1615168</xdr:rowOff>
    </xdr:to>
    <xdr:pic>
      <xdr:nvPicPr>
        <xdr:cNvPr id="28" name="_x908569904">
          <a:extLst>
            <a:ext uri="{FF2B5EF4-FFF2-40B4-BE49-F238E27FC236}">
              <a16:creationId xmlns:a16="http://schemas.microsoft.com/office/drawing/2014/main" id="{ACC910A4-EF61-4671-9A2D-EACD3CF8A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7" y="45126729"/>
          <a:ext cx="27051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view="pageBreakPreview" topLeftCell="A5" zoomScale="70" zoomScaleNormal="70" zoomScaleSheetLayoutView="70" workbookViewId="0">
      <selection activeCell="Q5" sqref="Q5"/>
    </sheetView>
  </sheetViews>
  <sheetFormatPr defaultColWidth="10.375" defaultRowHeight="12"/>
  <cols>
    <col min="1" max="17" width="10.375" style="1"/>
    <col min="18" max="18" width="39.125" style="1" customWidth="1"/>
    <col min="19" max="19" width="10.375" style="2"/>
    <col min="20" max="16384" width="10.375" style="1"/>
  </cols>
  <sheetData>
    <row r="1" spans="1:20" ht="12" customHeight="1">
      <c r="A1" s="3" t="s">
        <v>0</v>
      </c>
      <c r="B1" s="3" t="s">
        <v>1</v>
      </c>
      <c r="C1" s="3" t="s">
        <v>2</v>
      </c>
    </row>
    <row r="2" spans="1:20" ht="12" customHeight="1">
      <c r="A2" s="1">
        <v>2025</v>
      </c>
      <c r="B2" s="3" t="s">
        <v>3</v>
      </c>
      <c r="C2" s="3" t="s">
        <v>4</v>
      </c>
    </row>
    <row r="3" spans="1:20" ht="12" customHeight="1"/>
    <row r="4" spans="1:20" ht="12" customHeight="1"/>
    <row r="5" spans="1:20" ht="129.75" customHeight="1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75" customHeight="1">
      <c r="A6" s="4">
        <v>1</v>
      </c>
      <c r="B6" s="4" t="s">
        <v>23</v>
      </c>
      <c r="C6" s="4" t="str">
        <f t="shared" ref="C6:C32" si="0">RIGHT($A$2,2)&amp;"-"&amp;$C$2&amp;"-"&amp;A6</f>
        <v>25-강남구-1</v>
      </c>
      <c r="D6" s="4" t="s">
        <v>24</v>
      </c>
      <c r="E6" s="4" t="s">
        <v>25</v>
      </c>
      <c r="F6" s="4" t="s">
        <v>24</v>
      </c>
      <c r="G6" s="4">
        <v>2</v>
      </c>
      <c r="H6" s="6" t="s">
        <v>26</v>
      </c>
      <c r="I6" s="6">
        <f t="shared" ref="I6:I32" si="1">IF(D6="양호",0,IF(D6="보통",3,IF(D6="긴급",9)))</f>
        <v>0</v>
      </c>
      <c r="J6" s="6">
        <f t="shared" ref="J6:J32" si="2">IF(E6="거북등",3,IF(RIGHT(E6,2)="균열",1,IF(E6="-",0)))</f>
        <v>1</v>
      </c>
      <c r="K6" s="6">
        <f t="shared" ref="K6:K32" si="3">IF(F6="유출",9,IF(F6="습윤",1,IF(F6="양호",0,IF(F6="건조",0))))</f>
        <v>0</v>
      </c>
      <c r="L6" s="6">
        <f t="shared" ref="L6:L32" si="4">IF(G6&lt;10,0,IF(G6&lt;30,1,IF(G6&gt;=30,2)))</f>
        <v>0</v>
      </c>
      <c r="M6" s="6">
        <f t="shared" ref="M6:M32" si="5">IF(H6="-",0,1)</f>
        <v>0</v>
      </c>
      <c r="N6" s="6">
        <f t="shared" ref="N6:N32" si="6">SUM(I6:M6)</f>
        <v>1</v>
      </c>
      <c r="O6" s="6" t="str">
        <f t="shared" ref="O6:O32" si="7">IF(N6&lt;6,"일반",IF(N6&lt;9,"우선",IF(N6&gt;=9,"긴급")))</f>
        <v>일반</v>
      </c>
      <c r="P6" s="6"/>
      <c r="Q6" s="6"/>
      <c r="R6" s="25"/>
      <c r="S6" s="7" t="s">
        <v>27</v>
      </c>
      <c r="T6" s="8"/>
    </row>
    <row r="7" spans="1:20" ht="129.75" customHeight="1">
      <c r="A7" s="6">
        <v>2</v>
      </c>
      <c r="B7" s="4" t="s">
        <v>23</v>
      </c>
      <c r="C7" s="6" t="str">
        <f t="shared" si="0"/>
        <v>25-강남구-2</v>
      </c>
      <c r="D7" s="4" t="s">
        <v>24</v>
      </c>
      <c r="E7" s="6" t="s">
        <v>26</v>
      </c>
      <c r="F7" s="4" t="s">
        <v>24</v>
      </c>
      <c r="G7" s="6">
        <v>2</v>
      </c>
      <c r="H7" s="6" t="s">
        <v>26</v>
      </c>
      <c r="I7" s="6">
        <f t="shared" si="1"/>
        <v>0</v>
      </c>
      <c r="J7" s="6">
        <f t="shared" si="2"/>
        <v>0</v>
      </c>
      <c r="K7" s="6">
        <f t="shared" si="3"/>
        <v>0</v>
      </c>
      <c r="L7" s="6">
        <f t="shared" si="4"/>
        <v>0</v>
      </c>
      <c r="M7" s="6">
        <f t="shared" si="5"/>
        <v>0</v>
      </c>
      <c r="N7" s="6">
        <f t="shared" si="6"/>
        <v>0</v>
      </c>
      <c r="O7" s="6" t="str">
        <f t="shared" si="7"/>
        <v>일반</v>
      </c>
      <c r="P7" s="6" t="s">
        <v>28</v>
      </c>
      <c r="Q7" s="6"/>
      <c r="R7" s="25"/>
      <c r="S7" s="7" t="s">
        <v>29</v>
      </c>
      <c r="T7" s="8"/>
    </row>
    <row r="8" spans="1:20" ht="129.75" customHeight="1">
      <c r="A8" s="6">
        <v>3</v>
      </c>
      <c r="B8" s="4" t="s">
        <v>23</v>
      </c>
      <c r="C8" s="6" t="str">
        <f t="shared" si="0"/>
        <v>25-강남구-3</v>
      </c>
      <c r="D8" s="4" t="s">
        <v>24</v>
      </c>
      <c r="E8" s="4" t="s">
        <v>30</v>
      </c>
      <c r="F8" s="4" t="s">
        <v>24</v>
      </c>
      <c r="G8" s="6">
        <v>2</v>
      </c>
      <c r="H8" s="6" t="s">
        <v>26</v>
      </c>
      <c r="I8" s="6">
        <f t="shared" si="1"/>
        <v>0</v>
      </c>
      <c r="J8" s="6">
        <f t="shared" si="2"/>
        <v>3</v>
      </c>
      <c r="K8" s="6">
        <f t="shared" si="3"/>
        <v>0</v>
      </c>
      <c r="L8" s="6">
        <f t="shared" si="4"/>
        <v>0</v>
      </c>
      <c r="M8" s="6">
        <f t="shared" si="5"/>
        <v>0</v>
      </c>
      <c r="N8" s="6">
        <f t="shared" si="6"/>
        <v>3</v>
      </c>
      <c r="O8" s="6" t="str">
        <f t="shared" si="7"/>
        <v>일반</v>
      </c>
      <c r="P8" s="6"/>
      <c r="Q8" s="6"/>
      <c r="R8" s="25"/>
      <c r="S8" s="7" t="s">
        <v>31</v>
      </c>
      <c r="T8" s="8"/>
    </row>
    <row r="9" spans="1:20" ht="129.75" customHeight="1">
      <c r="A9" s="6">
        <v>4</v>
      </c>
      <c r="B9" s="4" t="s">
        <v>23</v>
      </c>
      <c r="C9" s="6" t="str">
        <f t="shared" si="0"/>
        <v>25-강남구-4</v>
      </c>
      <c r="D9" s="4" t="s">
        <v>24</v>
      </c>
      <c r="E9" s="4" t="s">
        <v>30</v>
      </c>
      <c r="F9" s="4" t="s">
        <v>24</v>
      </c>
      <c r="G9" s="6">
        <v>2</v>
      </c>
      <c r="H9" s="6" t="s">
        <v>26</v>
      </c>
      <c r="I9" s="6">
        <f t="shared" si="1"/>
        <v>0</v>
      </c>
      <c r="J9" s="6">
        <f t="shared" si="2"/>
        <v>3</v>
      </c>
      <c r="K9" s="6">
        <f t="shared" si="3"/>
        <v>0</v>
      </c>
      <c r="L9" s="6">
        <f t="shared" si="4"/>
        <v>0</v>
      </c>
      <c r="M9" s="6">
        <f t="shared" si="5"/>
        <v>0</v>
      </c>
      <c r="N9" s="6">
        <f t="shared" si="6"/>
        <v>3</v>
      </c>
      <c r="O9" s="6" t="str">
        <f t="shared" si="7"/>
        <v>일반</v>
      </c>
      <c r="P9" s="6"/>
      <c r="Q9" s="6"/>
      <c r="R9" s="25"/>
      <c r="S9" s="9" t="s">
        <v>32</v>
      </c>
      <c r="T9" s="8"/>
    </row>
    <row r="10" spans="1:20" ht="129.75" customHeight="1">
      <c r="A10" s="6">
        <v>5</v>
      </c>
      <c r="B10" s="4" t="s">
        <v>23</v>
      </c>
      <c r="C10" s="6" t="str">
        <f t="shared" si="0"/>
        <v>25-강남구-5</v>
      </c>
      <c r="D10" s="4" t="s">
        <v>24</v>
      </c>
      <c r="E10" s="4" t="s">
        <v>30</v>
      </c>
      <c r="F10" s="4" t="s">
        <v>24</v>
      </c>
      <c r="G10" s="6">
        <v>2</v>
      </c>
      <c r="H10" s="6" t="s">
        <v>26</v>
      </c>
      <c r="I10" s="6">
        <f t="shared" si="1"/>
        <v>0</v>
      </c>
      <c r="J10" s="6">
        <f t="shared" si="2"/>
        <v>3</v>
      </c>
      <c r="K10" s="6">
        <f t="shared" si="3"/>
        <v>0</v>
      </c>
      <c r="L10" s="6">
        <f t="shared" si="4"/>
        <v>0</v>
      </c>
      <c r="M10" s="6">
        <f t="shared" si="5"/>
        <v>0</v>
      </c>
      <c r="N10" s="6">
        <f t="shared" si="6"/>
        <v>3</v>
      </c>
      <c r="O10" s="6" t="str">
        <f t="shared" si="7"/>
        <v>일반</v>
      </c>
      <c r="P10" s="6"/>
      <c r="Q10" s="6"/>
      <c r="R10" s="25"/>
      <c r="S10" s="7" t="s">
        <v>33</v>
      </c>
      <c r="T10" s="8"/>
    </row>
    <row r="11" spans="1:20" ht="129.75" customHeight="1">
      <c r="A11" s="6">
        <v>6</v>
      </c>
      <c r="B11" s="4" t="s">
        <v>23</v>
      </c>
      <c r="C11" s="6" t="str">
        <f t="shared" si="0"/>
        <v>25-강남구-6</v>
      </c>
      <c r="D11" s="4" t="s">
        <v>24</v>
      </c>
      <c r="E11" s="4" t="s">
        <v>30</v>
      </c>
      <c r="F11" s="4" t="s">
        <v>24</v>
      </c>
      <c r="G11" s="6">
        <v>2</v>
      </c>
      <c r="H11" s="6" t="s">
        <v>26</v>
      </c>
      <c r="I11" s="6">
        <f t="shared" si="1"/>
        <v>0</v>
      </c>
      <c r="J11" s="6">
        <f t="shared" si="2"/>
        <v>3</v>
      </c>
      <c r="K11" s="6">
        <f t="shared" si="3"/>
        <v>0</v>
      </c>
      <c r="L11" s="6">
        <f t="shared" si="4"/>
        <v>0</v>
      </c>
      <c r="M11" s="6">
        <f t="shared" si="5"/>
        <v>0</v>
      </c>
      <c r="N11" s="6">
        <f t="shared" si="6"/>
        <v>3</v>
      </c>
      <c r="O11" s="6" t="str">
        <f t="shared" si="7"/>
        <v>일반</v>
      </c>
      <c r="P11" s="6"/>
      <c r="Q11" s="6"/>
      <c r="R11" s="25"/>
      <c r="S11" s="9" t="s">
        <v>34</v>
      </c>
      <c r="T11" s="8"/>
    </row>
    <row r="12" spans="1:20" ht="129.75" customHeight="1">
      <c r="A12" s="6">
        <v>7</v>
      </c>
      <c r="B12" s="4" t="s">
        <v>23</v>
      </c>
      <c r="C12" s="6" t="str">
        <f t="shared" si="0"/>
        <v>25-강남구-7</v>
      </c>
      <c r="D12" s="4" t="s">
        <v>24</v>
      </c>
      <c r="E12" s="4" t="s">
        <v>30</v>
      </c>
      <c r="F12" s="4" t="s">
        <v>24</v>
      </c>
      <c r="G12" s="6">
        <v>2</v>
      </c>
      <c r="H12" s="6" t="s">
        <v>26</v>
      </c>
      <c r="I12" s="6">
        <f t="shared" si="1"/>
        <v>0</v>
      </c>
      <c r="J12" s="6">
        <f t="shared" si="2"/>
        <v>3</v>
      </c>
      <c r="K12" s="6">
        <f t="shared" si="3"/>
        <v>0</v>
      </c>
      <c r="L12" s="6">
        <f t="shared" si="4"/>
        <v>0</v>
      </c>
      <c r="M12" s="6">
        <f t="shared" si="5"/>
        <v>0</v>
      </c>
      <c r="N12" s="6">
        <f t="shared" si="6"/>
        <v>3</v>
      </c>
      <c r="O12" s="6" t="str">
        <f t="shared" si="7"/>
        <v>일반</v>
      </c>
      <c r="P12" s="6"/>
      <c r="Q12" s="6"/>
      <c r="R12" s="25"/>
      <c r="S12" s="7" t="s">
        <v>35</v>
      </c>
      <c r="T12" s="8"/>
    </row>
    <row r="13" spans="1:20" ht="129.75" customHeight="1">
      <c r="A13" s="6">
        <v>8</v>
      </c>
      <c r="B13" s="4" t="s">
        <v>23</v>
      </c>
      <c r="C13" s="6" t="str">
        <f t="shared" si="0"/>
        <v>25-강남구-8</v>
      </c>
      <c r="D13" s="4" t="s">
        <v>24</v>
      </c>
      <c r="E13" s="4" t="s">
        <v>30</v>
      </c>
      <c r="F13" s="4" t="s">
        <v>24</v>
      </c>
      <c r="G13" s="6">
        <v>2</v>
      </c>
      <c r="H13" s="6" t="s">
        <v>26</v>
      </c>
      <c r="I13" s="6">
        <f t="shared" si="1"/>
        <v>0</v>
      </c>
      <c r="J13" s="6">
        <f t="shared" si="2"/>
        <v>3</v>
      </c>
      <c r="K13" s="6">
        <f t="shared" si="3"/>
        <v>0</v>
      </c>
      <c r="L13" s="6">
        <f t="shared" si="4"/>
        <v>0</v>
      </c>
      <c r="M13" s="6">
        <f t="shared" si="5"/>
        <v>0</v>
      </c>
      <c r="N13" s="6">
        <f t="shared" si="6"/>
        <v>3</v>
      </c>
      <c r="O13" s="6" t="str">
        <f t="shared" si="7"/>
        <v>일반</v>
      </c>
      <c r="P13" s="6"/>
      <c r="Q13" s="6"/>
      <c r="R13" s="25"/>
      <c r="S13" s="7" t="s">
        <v>36</v>
      </c>
      <c r="T13" s="8"/>
    </row>
    <row r="14" spans="1:20" ht="129.75" customHeight="1">
      <c r="A14" s="6">
        <v>9</v>
      </c>
      <c r="B14" s="4" t="s">
        <v>23</v>
      </c>
      <c r="C14" s="6" t="str">
        <f t="shared" si="0"/>
        <v>25-강남구-9</v>
      </c>
      <c r="D14" s="4" t="s">
        <v>24</v>
      </c>
      <c r="E14" s="6" t="s">
        <v>26</v>
      </c>
      <c r="F14" s="4" t="s">
        <v>24</v>
      </c>
      <c r="G14" s="6">
        <v>2</v>
      </c>
      <c r="H14" s="6" t="s">
        <v>26</v>
      </c>
      <c r="I14" s="6">
        <f t="shared" si="1"/>
        <v>0</v>
      </c>
      <c r="J14" s="6">
        <f t="shared" si="2"/>
        <v>0</v>
      </c>
      <c r="K14" s="6">
        <f t="shared" si="3"/>
        <v>0</v>
      </c>
      <c r="L14" s="6">
        <f t="shared" si="4"/>
        <v>0</v>
      </c>
      <c r="M14" s="6">
        <f t="shared" si="5"/>
        <v>0</v>
      </c>
      <c r="N14" s="6">
        <f t="shared" si="6"/>
        <v>0</v>
      </c>
      <c r="O14" s="6" t="str">
        <f t="shared" si="7"/>
        <v>일반</v>
      </c>
      <c r="P14" s="6" t="s">
        <v>28</v>
      </c>
      <c r="Q14" s="6"/>
      <c r="R14" s="25"/>
      <c r="S14" s="7" t="s">
        <v>36</v>
      </c>
      <c r="T14" s="8"/>
    </row>
    <row r="15" spans="1:20" ht="129.75" customHeight="1">
      <c r="A15" s="6">
        <v>10</v>
      </c>
      <c r="B15" s="4" t="s">
        <v>23</v>
      </c>
      <c r="C15" s="6" t="str">
        <f t="shared" si="0"/>
        <v>25-강남구-10</v>
      </c>
      <c r="D15" s="4" t="s">
        <v>24</v>
      </c>
      <c r="E15" s="4" t="s">
        <v>30</v>
      </c>
      <c r="F15" s="4" t="s">
        <v>24</v>
      </c>
      <c r="G15" s="6">
        <v>2</v>
      </c>
      <c r="H15" s="6" t="s">
        <v>26</v>
      </c>
      <c r="I15" s="6">
        <f t="shared" si="1"/>
        <v>0</v>
      </c>
      <c r="J15" s="6">
        <f t="shared" si="2"/>
        <v>3</v>
      </c>
      <c r="K15" s="6">
        <f t="shared" si="3"/>
        <v>0</v>
      </c>
      <c r="L15" s="6">
        <f t="shared" si="4"/>
        <v>0</v>
      </c>
      <c r="M15" s="6">
        <f t="shared" si="5"/>
        <v>0</v>
      </c>
      <c r="N15" s="6">
        <f t="shared" si="6"/>
        <v>3</v>
      </c>
      <c r="O15" s="6" t="str">
        <f t="shared" si="7"/>
        <v>일반</v>
      </c>
      <c r="P15" s="6"/>
      <c r="Q15" s="6"/>
      <c r="R15" s="25"/>
      <c r="S15" s="7" t="s">
        <v>37</v>
      </c>
      <c r="T15" s="8"/>
    </row>
    <row r="16" spans="1:20" ht="129.75" customHeight="1">
      <c r="A16" s="6">
        <v>11</v>
      </c>
      <c r="B16" s="4" t="s">
        <v>23</v>
      </c>
      <c r="C16" s="6" t="str">
        <f t="shared" si="0"/>
        <v>25-강남구-11</v>
      </c>
      <c r="D16" s="4" t="s">
        <v>24</v>
      </c>
      <c r="E16" s="4" t="s">
        <v>30</v>
      </c>
      <c r="F16" s="4" t="s">
        <v>24</v>
      </c>
      <c r="G16" s="6">
        <v>2</v>
      </c>
      <c r="H16" s="6" t="s">
        <v>26</v>
      </c>
      <c r="I16" s="6">
        <f t="shared" si="1"/>
        <v>0</v>
      </c>
      <c r="J16" s="6">
        <f t="shared" si="2"/>
        <v>3</v>
      </c>
      <c r="K16" s="6">
        <f t="shared" si="3"/>
        <v>0</v>
      </c>
      <c r="L16" s="6">
        <f t="shared" si="4"/>
        <v>0</v>
      </c>
      <c r="M16" s="6">
        <f t="shared" si="5"/>
        <v>0</v>
      </c>
      <c r="N16" s="6">
        <f t="shared" si="6"/>
        <v>3</v>
      </c>
      <c r="O16" s="6" t="str">
        <f t="shared" si="7"/>
        <v>일반</v>
      </c>
      <c r="P16" s="6"/>
      <c r="Q16" s="6"/>
      <c r="R16" s="25"/>
      <c r="S16" s="7" t="s">
        <v>38</v>
      </c>
      <c r="T16" s="8"/>
    </row>
    <row r="17" spans="1:20" ht="129.75" customHeight="1">
      <c r="A17" s="6">
        <v>12</v>
      </c>
      <c r="B17" s="4" t="s">
        <v>23</v>
      </c>
      <c r="C17" s="6" t="str">
        <f t="shared" si="0"/>
        <v>25-강남구-12</v>
      </c>
      <c r="D17" s="4" t="s">
        <v>24</v>
      </c>
      <c r="E17" s="4" t="s">
        <v>30</v>
      </c>
      <c r="F17" s="4" t="s">
        <v>24</v>
      </c>
      <c r="G17" s="6">
        <v>2</v>
      </c>
      <c r="H17" s="6" t="s">
        <v>26</v>
      </c>
      <c r="I17" s="6">
        <f t="shared" si="1"/>
        <v>0</v>
      </c>
      <c r="J17" s="6">
        <f t="shared" si="2"/>
        <v>3</v>
      </c>
      <c r="K17" s="6">
        <f t="shared" si="3"/>
        <v>0</v>
      </c>
      <c r="L17" s="6">
        <f t="shared" si="4"/>
        <v>0</v>
      </c>
      <c r="M17" s="6">
        <f t="shared" si="5"/>
        <v>0</v>
      </c>
      <c r="N17" s="6">
        <f t="shared" si="6"/>
        <v>3</v>
      </c>
      <c r="O17" s="6" t="str">
        <f t="shared" si="7"/>
        <v>일반</v>
      </c>
      <c r="P17" s="6"/>
      <c r="Q17" s="6"/>
      <c r="R17" s="25"/>
      <c r="S17" s="7" t="s">
        <v>39</v>
      </c>
      <c r="T17" s="8"/>
    </row>
    <row r="18" spans="1:20" ht="129.75" customHeight="1">
      <c r="A18" s="6">
        <v>13</v>
      </c>
      <c r="B18" s="4" t="s">
        <v>23</v>
      </c>
      <c r="C18" s="6" t="str">
        <f t="shared" si="0"/>
        <v>25-강남구-13</v>
      </c>
      <c r="D18" s="4" t="s">
        <v>24</v>
      </c>
      <c r="E18" s="4" t="s">
        <v>30</v>
      </c>
      <c r="F18" s="4" t="s">
        <v>24</v>
      </c>
      <c r="G18" s="6">
        <v>2</v>
      </c>
      <c r="H18" s="6" t="s">
        <v>26</v>
      </c>
      <c r="I18" s="6">
        <f t="shared" si="1"/>
        <v>0</v>
      </c>
      <c r="J18" s="6">
        <f t="shared" si="2"/>
        <v>3</v>
      </c>
      <c r="K18" s="6">
        <f t="shared" si="3"/>
        <v>0</v>
      </c>
      <c r="L18" s="6">
        <f t="shared" si="4"/>
        <v>0</v>
      </c>
      <c r="M18" s="6">
        <f t="shared" si="5"/>
        <v>0</v>
      </c>
      <c r="N18" s="6">
        <f t="shared" si="6"/>
        <v>3</v>
      </c>
      <c r="O18" s="6" t="str">
        <f t="shared" si="7"/>
        <v>일반</v>
      </c>
      <c r="P18" s="6"/>
      <c r="Q18" s="6"/>
      <c r="R18" s="25"/>
      <c r="S18" s="7" t="s">
        <v>40</v>
      </c>
      <c r="T18" s="8"/>
    </row>
    <row r="19" spans="1:20" ht="129.75" customHeight="1">
      <c r="A19" s="6">
        <v>14</v>
      </c>
      <c r="B19" s="4" t="s">
        <v>23</v>
      </c>
      <c r="C19" s="6" t="str">
        <f t="shared" si="0"/>
        <v>25-강남구-14</v>
      </c>
      <c r="D19" s="4" t="s">
        <v>24</v>
      </c>
      <c r="E19" s="6" t="s">
        <v>26</v>
      </c>
      <c r="F19" s="4" t="s">
        <v>24</v>
      </c>
      <c r="G19" s="6">
        <v>2</v>
      </c>
      <c r="H19" s="6" t="s">
        <v>26</v>
      </c>
      <c r="I19" s="6">
        <f t="shared" si="1"/>
        <v>0</v>
      </c>
      <c r="J19" s="6">
        <f t="shared" si="2"/>
        <v>0</v>
      </c>
      <c r="K19" s="6">
        <f t="shared" si="3"/>
        <v>0</v>
      </c>
      <c r="L19" s="6">
        <f t="shared" si="4"/>
        <v>0</v>
      </c>
      <c r="M19" s="6">
        <f t="shared" si="5"/>
        <v>0</v>
      </c>
      <c r="N19" s="6">
        <f t="shared" si="6"/>
        <v>0</v>
      </c>
      <c r="O19" s="6" t="str">
        <f t="shared" si="7"/>
        <v>일반</v>
      </c>
      <c r="P19" s="6" t="s">
        <v>28</v>
      </c>
      <c r="Q19" s="6"/>
      <c r="R19" s="25"/>
      <c r="S19" s="7" t="s">
        <v>41</v>
      </c>
      <c r="T19" s="8"/>
    </row>
    <row r="20" spans="1:20" ht="129.75" customHeight="1">
      <c r="A20" s="6">
        <v>15</v>
      </c>
      <c r="B20" s="4" t="s">
        <v>23</v>
      </c>
      <c r="C20" s="6" t="str">
        <f t="shared" si="0"/>
        <v>25-강남구-15</v>
      </c>
      <c r="D20" s="4" t="s">
        <v>24</v>
      </c>
      <c r="E20" s="4" t="s">
        <v>25</v>
      </c>
      <c r="F20" s="4" t="s">
        <v>24</v>
      </c>
      <c r="G20" s="6">
        <v>2</v>
      </c>
      <c r="H20" s="6" t="s">
        <v>26</v>
      </c>
      <c r="I20" s="6">
        <f t="shared" si="1"/>
        <v>0</v>
      </c>
      <c r="J20" s="6">
        <f t="shared" si="2"/>
        <v>1</v>
      </c>
      <c r="K20" s="6">
        <f t="shared" si="3"/>
        <v>0</v>
      </c>
      <c r="L20" s="6">
        <f t="shared" si="4"/>
        <v>0</v>
      </c>
      <c r="M20" s="6">
        <f t="shared" si="5"/>
        <v>0</v>
      </c>
      <c r="N20" s="6">
        <f t="shared" si="6"/>
        <v>1</v>
      </c>
      <c r="O20" s="6" t="str">
        <f t="shared" si="7"/>
        <v>일반</v>
      </c>
      <c r="P20" s="6"/>
      <c r="Q20" s="6"/>
      <c r="R20" s="25"/>
      <c r="S20" s="7" t="s">
        <v>42</v>
      </c>
      <c r="T20" s="8"/>
    </row>
    <row r="21" spans="1:20" ht="129.75" customHeight="1">
      <c r="A21" s="6">
        <v>16</v>
      </c>
      <c r="B21" s="4" t="s">
        <v>23</v>
      </c>
      <c r="C21" s="6" t="str">
        <f t="shared" si="0"/>
        <v>25-강남구-16</v>
      </c>
      <c r="D21" s="4" t="s">
        <v>24</v>
      </c>
      <c r="E21" s="4" t="s">
        <v>25</v>
      </c>
      <c r="F21" s="4" t="s">
        <v>24</v>
      </c>
      <c r="G21" s="6">
        <v>2</v>
      </c>
      <c r="H21" s="6" t="s">
        <v>26</v>
      </c>
      <c r="I21" s="6">
        <f t="shared" si="1"/>
        <v>0</v>
      </c>
      <c r="J21" s="6">
        <f t="shared" si="2"/>
        <v>1</v>
      </c>
      <c r="K21" s="6">
        <f t="shared" si="3"/>
        <v>0</v>
      </c>
      <c r="L21" s="6">
        <f t="shared" si="4"/>
        <v>0</v>
      </c>
      <c r="M21" s="6">
        <f t="shared" si="5"/>
        <v>0</v>
      </c>
      <c r="N21" s="6">
        <f t="shared" si="6"/>
        <v>1</v>
      </c>
      <c r="O21" s="6" t="str">
        <f t="shared" si="7"/>
        <v>일반</v>
      </c>
      <c r="P21" s="6"/>
      <c r="Q21" s="6"/>
      <c r="R21" s="25"/>
      <c r="S21" s="7" t="s">
        <v>43</v>
      </c>
      <c r="T21" s="8"/>
    </row>
    <row r="22" spans="1:20" ht="129.75" customHeight="1">
      <c r="A22" s="6">
        <v>17</v>
      </c>
      <c r="B22" s="4" t="s">
        <v>23</v>
      </c>
      <c r="C22" s="6" t="str">
        <f t="shared" si="0"/>
        <v>25-강남구-17</v>
      </c>
      <c r="D22" s="4" t="s">
        <v>24</v>
      </c>
      <c r="E22" s="4" t="s">
        <v>30</v>
      </c>
      <c r="F22" s="4" t="s">
        <v>24</v>
      </c>
      <c r="G22" s="6">
        <v>2</v>
      </c>
      <c r="H22" s="6" t="s">
        <v>26</v>
      </c>
      <c r="I22" s="6">
        <f t="shared" si="1"/>
        <v>0</v>
      </c>
      <c r="J22" s="6">
        <f t="shared" si="2"/>
        <v>3</v>
      </c>
      <c r="K22" s="6">
        <f t="shared" si="3"/>
        <v>0</v>
      </c>
      <c r="L22" s="6">
        <f t="shared" si="4"/>
        <v>0</v>
      </c>
      <c r="M22" s="6">
        <f t="shared" si="5"/>
        <v>0</v>
      </c>
      <c r="N22" s="6">
        <f t="shared" si="6"/>
        <v>3</v>
      </c>
      <c r="O22" s="6" t="str">
        <f t="shared" si="7"/>
        <v>일반</v>
      </c>
      <c r="P22" s="6"/>
      <c r="Q22" s="6"/>
      <c r="R22" s="25"/>
      <c r="S22" s="7" t="s">
        <v>44</v>
      </c>
      <c r="T22" s="8"/>
    </row>
    <row r="23" spans="1:20" ht="129.75" customHeight="1">
      <c r="A23" s="6">
        <v>18</v>
      </c>
      <c r="B23" s="4" t="s">
        <v>23</v>
      </c>
      <c r="C23" s="6" t="str">
        <f t="shared" si="0"/>
        <v>25-강남구-18</v>
      </c>
      <c r="D23" s="4" t="s">
        <v>24</v>
      </c>
      <c r="E23" s="4" t="s">
        <v>30</v>
      </c>
      <c r="F23" s="4" t="s">
        <v>24</v>
      </c>
      <c r="G23" s="6">
        <v>2</v>
      </c>
      <c r="H23" s="6" t="s">
        <v>26</v>
      </c>
      <c r="I23" s="6">
        <f t="shared" si="1"/>
        <v>0</v>
      </c>
      <c r="J23" s="6">
        <f t="shared" si="2"/>
        <v>3</v>
      </c>
      <c r="K23" s="6">
        <f t="shared" si="3"/>
        <v>0</v>
      </c>
      <c r="L23" s="6">
        <f t="shared" si="4"/>
        <v>0</v>
      </c>
      <c r="M23" s="6">
        <f t="shared" si="5"/>
        <v>0</v>
      </c>
      <c r="N23" s="6">
        <f t="shared" si="6"/>
        <v>3</v>
      </c>
      <c r="O23" s="6" t="str">
        <f t="shared" si="7"/>
        <v>일반</v>
      </c>
      <c r="P23" s="6" t="s">
        <v>28</v>
      </c>
      <c r="Q23" s="6"/>
      <c r="R23" s="25"/>
      <c r="S23" s="7" t="s">
        <v>45</v>
      </c>
      <c r="T23" s="8"/>
    </row>
    <row r="24" spans="1:20" ht="129.75" customHeight="1">
      <c r="A24" s="6">
        <v>19</v>
      </c>
      <c r="B24" s="4" t="s">
        <v>23</v>
      </c>
      <c r="C24" s="6" t="str">
        <f t="shared" si="0"/>
        <v>25-강남구-19</v>
      </c>
      <c r="D24" s="4" t="s">
        <v>24</v>
      </c>
      <c r="E24" s="4" t="s">
        <v>30</v>
      </c>
      <c r="F24" s="4" t="s">
        <v>24</v>
      </c>
      <c r="G24" s="6">
        <v>2</v>
      </c>
      <c r="H24" s="6" t="s">
        <v>26</v>
      </c>
      <c r="I24" s="6">
        <f t="shared" si="1"/>
        <v>0</v>
      </c>
      <c r="J24" s="6">
        <f t="shared" si="2"/>
        <v>3</v>
      </c>
      <c r="K24" s="6">
        <f t="shared" si="3"/>
        <v>0</v>
      </c>
      <c r="L24" s="6">
        <f t="shared" si="4"/>
        <v>0</v>
      </c>
      <c r="M24" s="6">
        <f t="shared" si="5"/>
        <v>0</v>
      </c>
      <c r="N24" s="6">
        <f t="shared" si="6"/>
        <v>3</v>
      </c>
      <c r="O24" s="6" t="str">
        <f t="shared" si="7"/>
        <v>일반</v>
      </c>
      <c r="P24" s="6"/>
      <c r="Q24" s="6"/>
      <c r="R24" s="25"/>
      <c r="S24" s="7" t="s">
        <v>46</v>
      </c>
      <c r="T24" s="8"/>
    </row>
    <row r="25" spans="1:20" ht="129.75" customHeight="1">
      <c r="A25" s="6">
        <v>20</v>
      </c>
      <c r="B25" s="4" t="s">
        <v>23</v>
      </c>
      <c r="C25" s="6" t="str">
        <f t="shared" si="0"/>
        <v>25-강남구-20</v>
      </c>
      <c r="D25" s="4" t="s">
        <v>24</v>
      </c>
      <c r="E25" s="4" t="s">
        <v>25</v>
      </c>
      <c r="F25" s="4" t="s">
        <v>24</v>
      </c>
      <c r="G25" s="6">
        <v>2</v>
      </c>
      <c r="H25" s="6" t="s">
        <v>26</v>
      </c>
      <c r="I25" s="6">
        <f t="shared" si="1"/>
        <v>0</v>
      </c>
      <c r="J25" s="6">
        <f t="shared" si="2"/>
        <v>1</v>
      </c>
      <c r="K25" s="6">
        <f t="shared" si="3"/>
        <v>0</v>
      </c>
      <c r="L25" s="6">
        <f t="shared" si="4"/>
        <v>0</v>
      </c>
      <c r="M25" s="6">
        <f t="shared" si="5"/>
        <v>0</v>
      </c>
      <c r="N25" s="6">
        <f t="shared" si="6"/>
        <v>1</v>
      </c>
      <c r="O25" s="6" t="str">
        <f t="shared" si="7"/>
        <v>일반</v>
      </c>
      <c r="P25" s="6"/>
      <c r="Q25" s="6"/>
      <c r="R25" s="25"/>
      <c r="S25" s="7" t="s">
        <v>47</v>
      </c>
      <c r="T25" s="8"/>
    </row>
    <row r="26" spans="1:20" ht="129.75" customHeight="1">
      <c r="A26" s="6">
        <v>21</v>
      </c>
      <c r="B26" s="4" t="s">
        <v>23</v>
      </c>
      <c r="C26" s="6" t="str">
        <f t="shared" si="0"/>
        <v>25-강남구-21</v>
      </c>
      <c r="D26" s="4" t="s">
        <v>24</v>
      </c>
      <c r="E26" s="6" t="s">
        <v>26</v>
      </c>
      <c r="F26" s="4" t="s">
        <v>24</v>
      </c>
      <c r="G26" s="6">
        <v>2</v>
      </c>
      <c r="H26" s="6" t="s">
        <v>26</v>
      </c>
      <c r="I26" s="6">
        <f t="shared" si="1"/>
        <v>0</v>
      </c>
      <c r="J26" s="6">
        <f t="shared" si="2"/>
        <v>0</v>
      </c>
      <c r="K26" s="6">
        <f t="shared" si="3"/>
        <v>0</v>
      </c>
      <c r="L26" s="6">
        <f t="shared" si="4"/>
        <v>0</v>
      </c>
      <c r="M26" s="6">
        <f t="shared" si="5"/>
        <v>0</v>
      </c>
      <c r="N26" s="6">
        <f t="shared" si="6"/>
        <v>0</v>
      </c>
      <c r="O26" s="6" t="str">
        <f t="shared" si="7"/>
        <v>일반</v>
      </c>
      <c r="P26" s="6" t="s">
        <v>28</v>
      </c>
      <c r="Q26" s="6"/>
      <c r="R26" s="25"/>
      <c r="S26" s="9" t="s">
        <v>48</v>
      </c>
      <c r="T26" s="8"/>
    </row>
    <row r="27" spans="1:20" ht="129.75" customHeight="1">
      <c r="A27" s="6">
        <v>22</v>
      </c>
      <c r="B27" s="4" t="s">
        <v>23</v>
      </c>
      <c r="C27" s="6" t="str">
        <f t="shared" si="0"/>
        <v>25-강남구-22</v>
      </c>
      <c r="D27" s="4" t="s">
        <v>24</v>
      </c>
      <c r="E27" s="6" t="s">
        <v>26</v>
      </c>
      <c r="F27" s="4" t="s">
        <v>24</v>
      </c>
      <c r="G27" s="6">
        <v>2</v>
      </c>
      <c r="H27" s="6" t="s">
        <v>26</v>
      </c>
      <c r="I27" s="6">
        <f t="shared" si="1"/>
        <v>0</v>
      </c>
      <c r="J27" s="6">
        <f t="shared" si="2"/>
        <v>0</v>
      </c>
      <c r="K27" s="6">
        <f t="shared" si="3"/>
        <v>0</v>
      </c>
      <c r="L27" s="6">
        <f t="shared" si="4"/>
        <v>0</v>
      </c>
      <c r="M27" s="6">
        <f t="shared" si="5"/>
        <v>0</v>
      </c>
      <c r="N27" s="6">
        <f t="shared" si="6"/>
        <v>0</v>
      </c>
      <c r="O27" s="6" t="str">
        <f t="shared" si="7"/>
        <v>일반</v>
      </c>
      <c r="P27" s="6" t="s">
        <v>28</v>
      </c>
      <c r="Q27" s="6"/>
      <c r="R27" s="25"/>
      <c r="S27" s="7" t="s">
        <v>49</v>
      </c>
      <c r="T27" s="8"/>
    </row>
    <row r="28" spans="1:20" ht="129.75" customHeight="1">
      <c r="A28" s="6">
        <v>23</v>
      </c>
      <c r="B28" s="4" t="s">
        <v>23</v>
      </c>
      <c r="C28" s="6" t="str">
        <f t="shared" si="0"/>
        <v>25-강남구-23</v>
      </c>
      <c r="D28" s="4" t="s">
        <v>24</v>
      </c>
      <c r="E28" s="4" t="s">
        <v>30</v>
      </c>
      <c r="F28" s="4" t="s">
        <v>24</v>
      </c>
      <c r="G28" s="6">
        <v>2</v>
      </c>
      <c r="H28" s="6" t="s">
        <v>26</v>
      </c>
      <c r="I28" s="6">
        <f t="shared" si="1"/>
        <v>0</v>
      </c>
      <c r="J28" s="6">
        <f t="shared" si="2"/>
        <v>3</v>
      </c>
      <c r="K28" s="6">
        <f t="shared" si="3"/>
        <v>0</v>
      </c>
      <c r="L28" s="6">
        <f t="shared" si="4"/>
        <v>0</v>
      </c>
      <c r="M28" s="6">
        <f t="shared" si="5"/>
        <v>0</v>
      </c>
      <c r="N28" s="6">
        <f t="shared" si="6"/>
        <v>3</v>
      </c>
      <c r="O28" s="6" t="str">
        <f t="shared" si="7"/>
        <v>일반</v>
      </c>
      <c r="P28" s="6"/>
      <c r="Q28" s="6"/>
      <c r="R28" s="25"/>
      <c r="S28" s="9" t="s">
        <v>50</v>
      </c>
      <c r="T28" s="8"/>
    </row>
    <row r="29" spans="1:20" ht="129.75" customHeight="1">
      <c r="A29" s="6">
        <v>24</v>
      </c>
      <c r="B29" s="4" t="s">
        <v>23</v>
      </c>
      <c r="C29" s="6" t="str">
        <f t="shared" si="0"/>
        <v>25-강남구-24</v>
      </c>
      <c r="D29" s="4" t="s">
        <v>24</v>
      </c>
      <c r="E29" s="4" t="s">
        <v>30</v>
      </c>
      <c r="F29" s="4" t="s">
        <v>24</v>
      </c>
      <c r="G29" s="6">
        <v>2</v>
      </c>
      <c r="H29" s="6" t="s">
        <v>26</v>
      </c>
      <c r="I29" s="6">
        <f t="shared" si="1"/>
        <v>0</v>
      </c>
      <c r="J29" s="6">
        <f t="shared" si="2"/>
        <v>3</v>
      </c>
      <c r="K29" s="6">
        <f t="shared" si="3"/>
        <v>0</v>
      </c>
      <c r="L29" s="6">
        <f t="shared" si="4"/>
        <v>0</v>
      </c>
      <c r="M29" s="6">
        <f t="shared" si="5"/>
        <v>0</v>
      </c>
      <c r="N29" s="6">
        <f t="shared" si="6"/>
        <v>3</v>
      </c>
      <c r="O29" s="6" t="str">
        <f t="shared" si="7"/>
        <v>일반</v>
      </c>
      <c r="P29" s="6"/>
      <c r="Q29" s="6"/>
      <c r="R29" s="25"/>
      <c r="S29" s="7" t="s">
        <v>51</v>
      </c>
      <c r="T29" s="8"/>
    </row>
    <row r="30" spans="1:20" ht="129.75" customHeight="1">
      <c r="A30" s="6">
        <v>25</v>
      </c>
      <c r="B30" s="4" t="s">
        <v>23</v>
      </c>
      <c r="C30" s="6" t="str">
        <f t="shared" si="0"/>
        <v>25-강남구-25</v>
      </c>
      <c r="D30" s="4" t="s">
        <v>24</v>
      </c>
      <c r="E30" s="4" t="s">
        <v>30</v>
      </c>
      <c r="F30" s="4" t="s">
        <v>24</v>
      </c>
      <c r="G30" s="6">
        <v>2</v>
      </c>
      <c r="H30" s="6" t="s">
        <v>26</v>
      </c>
      <c r="I30" s="6">
        <f t="shared" si="1"/>
        <v>0</v>
      </c>
      <c r="J30" s="6">
        <f t="shared" si="2"/>
        <v>3</v>
      </c>
      <c r="K30" s="6">
        <f t="shared" si="3"/>
        <v>0</v>
      </c>
      <c r="L30" s="6">
        <f t="shared" si="4"/>
        <v>0</v>
      </c>
      <c r="M30" s="6">
        <f t="shared" si="5"/>
        <v>0</v>
      </c>
      <c r="N30" s="6">
        <f t="shared" si="6"/>
        <v>3</v>
      </c>
      <c r="O30" s="6" t="str">
        <f t="shared" si="7"/>
        <v>일반</v>
      </c>
      <c r="P30" s="6"/>
      <c r="Q30" s="6"/>
      <c r="R30" s="25"/>
      <c r="S30" s="7" t="s">
        <v>52</v>
      </c>
      <c r="T30" s="8"/>
    </row>
    <row r="31" spans="1:20" ht="129.75" customHeight="1">
      <c r="A31" s="6">
        <v>26</v>
      </c>
      <c r="B31" s="4" t="s">
        <v>23</v>
      </c>
      <c r="C31" s="6" t="str">
        <f t="shared" si="0"/>
        <v>25-강남구-26</v>
      </c>
      <c r="D31" s="4" t="s">
        <v>24</v>
      </c>
      <c r="E31" s="4" t="s">
        <v>30</v>
      </c>
      <c r="F31" s="4" t="s">
        <v>24</v>
      </c>
      <c r="G31" s="6">
        <v>2</v>
      </c>
      <c r="H31" s="6" t="s">
        <v>26</v>
      </c>
      <c r="I31" s="6">
        <f t="shared" si="1"/>
        <v>0</v>
      </c>
      <c r="J31" s="6">
        <f t="shared" si="2"/>
        <v>3</v>
      </c>
      <c r="K31" s="6">
        <f t="shared" si="3"/>
        <v>0</v>
      </c>
      <c r="L31" s="6">
        <f t="shared" si="4"/>
        <v>0</v>
      </c>
      <c r="M31" s="6">
        <f t="shared" si="5"/>
        <v>0</v>
      </c>
      <c r="N31" s="6">
        <f t="shared" si="6"/>
        <v>3</v>
      </c>
      <c r="O31" s="6" t="str">
        <f t="shared" si="7"/>
        <v>일반</v>
      </c>
      <c r="P31" s="6"/>
      <c r="Q31" s="6"/>
      <c r="R31" s="25"/>
      <c r="S31" s="7" t="s">
        <v>53</v>
      </c>
      <c r="T31" s="8"/>
    </row>
    <row r="32" spans="1:20" ht="129.75" customHeight="1">
      <c r="A32" s="6">
        <v>27</v>
      </c>
      <c r="B32" s="4" t="s">
        <v>23</v>
      </c>
      <c r="C32" s="6" t="str">
        <f t="shared" si="0"/>
        <v>25-강남구-27</v>
      </c>
      <c r="D32" s="4" t="s">
        <v>24</v>
      </c>
      <c r="E32" s="4" t="s">
        <v>30</v>
      </c>
      <c r="F32" s="4" t="s">
        <v>24</v>
      </c>
      <c r="G32" s="6">
        <v>2</v>
      </c>
      <c r="H32" s="6" t="s">
        <v>26</v>
      </c>
      <c r="I32" s="6">
        <f t="shared" si="1"/>
        <v>0</v>
      </c>
      <c r="J32" s="6">
        <f t="shared" si="2"/>
        <v>3</v>
      </c>
      <c r="K32" s="6">
        <f t="shared" si="3"/>
        <v>0</v>
      </c>
      <c r="L32" s="6">
        <f t="shared" si="4"/>
        <v>0</v>
      </c>
      <c r="M32" s="6">
        <f t="shared" si="5"/>
        <v>0</v>
      </c>
      <c r="N32" s="6">
        <f t="shared" si="6"/>
        <v>3</v>
      </c>
      <c r="O32" s="6" t="str">
        <f t="shared" si="7"/>
        <v>일반</v>
      </c>
      <c r="P32" s="6"/>
      <c r="Q32" s="6"/>
      <c r="R32" s="25"/>
      <c r="S32" s="9" t="s">
        <v>54</v>
      </c>
      <c r="T32" s="8"/>
    </row>
    <row r="33" spans="1:20" ht="129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9"/>
      <c r="T33" s="8"/>
    </row>
    <row r="34" spans="1:20" ht="129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9"/>
      <c r="T34" s="8"/>
    </row>
    <row r="35" spans="1:20" ht="129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9"/>
      <c r="T35" s="8"/>
    </row>
    <row r="36" spans="1:20" ht="129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9"/>
      <c r="T36" s="8"/>
    </row>
    <row r="37" spans="1:20" ht="129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9"/>
      <c r="T37" s="8"/>
    </row>
    <row r="38" spans="1:20" ht="129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9"/>
      <c r="T38" s="8"/>
    </row>
    <row r="39" spans="1:20" ht="129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9"/>
      <c r="T39" s="8"/>
    </row>
    <row r="40" spans="1:20" ht="129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9"/>
      <c r="T40" s="8"/>
    </row>
    <row r="41" spans="1:20" ht="129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9"/>
      <c r="T41" s="8"/>
    </row>
    <row r="42" spans="1:20" ht="129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9"/>
      <c r="T42" s="8"/>
    </row>
    <row r="43" spans="1:20" ht="129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9"/>
      <c r="T43" s="8"/>
    </row>
    <row r="44" spans="1:20" ht="129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9"/>
      <c r="T44" s="8"/>
    </row>
    <row r="45" spans="1:20" ht="129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9"/>
      <c r="T45" s="8"/>
    </row>
    <row r="46" spans="1:20" ht="129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9"/>
      <c r="T46" s="8"/>
    </row>
    <row r="47" spans="1:20" ht="129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9"/>
      <c r="T47" s="8"/>
    </row>
  </sheetData>
  <phoneticPr fontId="9" type="noConversion"/>
  <pageMargins left="0.7" right="0.7" top="0.75" bottom="0.75" header="0.511811023622047" footer="0.511811023622047"/>
  <pageSetup paperSize="9" scale="34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view="pageBreakPreview" topLeftCell="A27" zoomScaleNormal="100" zoomScaleSheetLayoutView="100" zoomScalePageLayoutView="85" workbookViewId="0">
      <selection activeCell="C31" sqref="C31"/>
    </sheetView>
  </sheetViews>
  <sheetFormatPr defaultColWidth="8.5" defaultRowHeight="16.5"/>
  <cols>
    <col min="1" max="1" width="12.5" style="10" customWidth="1"/>
    <col min="2" max="2" width="39.125" style="10" customWidth="1"/>
    <col min="3" max="3" width="25.375" style="11" customWidth="1"/>
  </cols>
  <sheetData>
    <row r="1" spans="1:3" ht="16.5" customHeight="1"/>
    <row r="2" spans="1:3" ht="16.5" customHeight="1">
      <c r="A2" s="12" t="s">
        <v>55</v>
      </c>
    </row>
    <row r="3" spans="1:3" ht="6.75" customHeight="1"/>
    <row r="4" spans="1:3" ht="33">
      <c r="A4" s="26" t="s">
        <v>91</v>
      </c>
      <c r="B4" s="27" t="s">
        <v>92</v>
      </c>
      <c r="C4" s="26" t="s">
        <v>93</v>
      </c>
    </row>
    <row r="5" spans="1:3" ht="129.75" customHeight="1">
      <c r="A5" s="13" t="str">
        <f>RIGHT(RawData!$A$2,2)&amp;"-"&amp;RawData!$C$2&amp;"-"&amp;RawData!A6</f>
        <v>25-강남구-1</v>
      </c>
      <c r="B5" s="25"/>
      <c r="C5" s="14" t="str">
        <f>IF(RawData!S6="","-",RawData!S6)</f>
        <v>우리은행 앞
도로
(강남대로)</v>
      </c>
    </row>
    <row r="6" spans="1:3" ht="129.75" customHeight="1">
      <c r="A6" s="13" t="str">
        <f>RIGHT(RawData!$A$2,2)&amp;"-"&amp;RawData!$C$2&amp;"-"&amp;RawData!A7</f>
        <v>25-강남구-2</v>
      </c>
      <c r="B6" s="25"/>
      <c r="C6" s="14" t="str">
        <f>IF(RawData!S7="","-",RawData!S7)</f>
        <v>신사역 환기구 앞
도로
(강남대로)</v>
      </c>
    </row>
    <row r="7" spans="1:3" ht="129.75" customHeight="1">
      <c r="A7" s="13" t="str">
        <f>RIGHT(RawData!$A$2,2)&amp;"-"&amp;RawData!$C$2&amp;"-"&amp;RawData!A8</f>
        <v>25-강남구-3</v>
      </c>
      <c r="B7" s="25"/>
      <c r="C7" s="14" t="str">
        <f>IF(RawData!S8="","-",RawData!S8)</f>
        <v>청기와타운 앞
도로
(강남대로)</v>
      </c>
    </row>
    <row r="8" spans="1:3" ht="129.75" customHeight="1">
      <c r="A8" s="13" t="str">
        <f>RIGHT(RawData!$A$2,2)&amp;"-"&amp;RawData!$C$2&amp;"-"&amp;RawData!A9</f>
        <v>25-강남구-4</v>
      </c>
      <c r="B8" s="25"/>
      <c r="C8" s="14" t="str">
        <f>IF(RawData!S9="","-",RawData!S9)</f>
        <v>NHN벅스 앞
도로
(강남대로)</v>
      </c>
    </row>
    <row r="9" spans="1:3" ht="129.75" customHeight="1">
      <c r="A9" s="13" t="str">
        <f>RIGHT(RawData!$A$2,2)&amp;"-"&amp;RawData!$C$2&amp;"-"&amp;RawData!A10</f>
        <v>25-강남구-5</v>
      </c>
      <c r="B9" s="25"/>
      <c r="C9" s="14" t="str">
        <f>IF(RawData!S10="","-",RawData!S10)</f>
        <v>성현빌딩 앞
도로
(강남대로)</v>
      </c>
    </row>
    <row r="10" spans="1:3" ht="129.75" customHeight="1">
      <c r="A10" s="13" t="str">
        <f>RIGHT(RawData!$A$2,2)&amp;"-"&amp;RawData!$C$2&amp;"-"&amp;RawData!A11</f>
        <v>25-강남구-6</v>
      </c>
      <c r="B10" s="25"/>
      <c r="C10" s="14" t="str">
        <f>IF(RawData!S11="","-",RawData!S11)</f>
        <v>CU편의점 앞
도로
(강남대로)</v>
      </c>
    </row>
    <row r="11" spans="1:3" ht="129.75" customHeight="1">
      <c r="A11" s="13" t="str">
        <f>RIGHT(RawData!$A$2,2)&amp;"-"&amp;RawData!$C$2&amp;"-"&amp;RawData!A12</f>
        <v>25-강남구-7</v>
      </c>
      <c r="B11" s="25"/>
      <c r="C11" s="14" t="str">
        <f>IF(RawData!S12="","-",RawData!S12)</f>
        <v>국제미디 논현점 앞
도로
(강남대로)</v>
      </c>
    </row>
    <row r="12" spans="1:3" ht="129.75" customHeight="1">
      <c r="A12" s="13" t="str">
        <f>RIGHT(RawData!$A$2,2)&amp;"-"&amp;RawData!$C$2&amp;"-"&amp;RawData!A13</f>
        <v>25-강남구-8</v>
      </c>
      <c r="B12" s="25"/>
      <c r="C12" s="14" t="str">
        <f>IF(RawData!S13="","-",RawData!S13)</f>
        <v>논현역#9번출구 앞
도로
(강남대로)</v>
      </c>
    </row>
    <row r="13" spans="1:3" ht="129.75" customHeight="1">
      <c r="A13" s="13" t="str">
        <f>RIGHT(RawData!$A$2,2)&amp;"-"&amp;RawData!$C$2&amp;"-"&amp;RawData!A14</f>
        <v>25-강남구-9</v>
      </c>
      <c r="B13" s="25"/>
      <c r="C13" s="14" t="str">
        <f>IF(RawData!S14="","-",RawData!S14)</f>
        <v>논현역#9번출구 앞
도로
(강남대로)</v>
      </c>
    </row>
    <row r="14" spans="1:3" ht="129.75" customHeight="1">
      <c r="A14" s="13" t="str">
        <f>RIGHT(RawData!$A$2,2)&amp;"-"&amp;RawData!$C$2&amp;"-"&amp;RawData!A15</f>
        <v>25-강남구-10</v>
      </c>
      <c r="B14" s="25"/>
      <c r="C14" s="14" t="str">
        <f>IF(RawData!S15="","-",RawData!S15)</f>
        <v>논현역 교차로
도로
(강남대로)</v>
      </c>
    </row>
    <row r="15" spans="1:3" ht="129.75" customHeight="1">
      <c r="A15" s="13" t="str">
        <f>RIGHT(RawData!$A$2,2)&amp;"-"&amp;RawData!$C$2&amp;"-"&amp;RawData!A16</f>
        <v>25-강남구-11</v>
      </c>
      <c r="B15" s="25"/>
      <c r="C15" s="14" t="str">
        <f>IF(RawData!S16="","-",RawData!S16)</f>
        <v>할리스커피 앞
도로
(강남대로)</v>
      </c>
    </row>
    <row r="16" spans="1:3" ht="129.75" customHeight="1">
      <c r="A16" s="13" t="str">
        <f>RIGHT(RawData!$A$2,2)&amp;"-"&amp;RawData!$C$2&amp;"-"&amp;RawData!A17</f>
        <v>25-강남구-12</v>
      </c>
      <c r="B16" s="25"/>
      <c r="C16" s="14" t="str">
        <f>IF(RawData!S17="","-",RawData!S17)</f>
        <v>한국금거래소
강남논현점 앞
도로
(강남대로)</v>
      </c>
    </row>
    <row r="17" spans="1:3" ht="129.75" customHeight="1">
      <c r="A17" s="13" t="str">
        <f>RIGHT(RawData!$A$2,2)&amp;"-"&amp;RawData!$C$2&amp;"-"&amp;RawData!A18</f>
        <v>25-강남구-13</v>
      </c>
      <c r="B17" s="25"/>
      <c r="C17" s="14" t="str">
        <f>IF(RawData!S18="","-",RawData!S18)</f>
        <v>아웃백 앞
도로
(강남대로)</v>
      </c>
    </row>
    <row r="18" spans="1:3" ht="129.75" customHeight="1">
      <c r="A18" s="13" t="str">
        <f>RIGHT(RawData!$A$2,2)&amp;"-"&amp;RawData!$C$2&amp;"-"&amp;RawData!A19</f>
        <v>25-강남구-14</v>
      </c>
      <c r="B18" s="25"/>
      <c r="C18" s="14" t="str">
        <f>IF(RawData!S19="","-",RawData!S19)</f>
        <v>나나성형
외과의원 앞
도로
(강남대로)</v>
      </c>
    </row>
    <row r="19" spans="1:3" ht="129.75" customHeight="1">
      <c r="A19" s="13" t="str">
        <f>RIGHT(RawData!$A$2,2)&amp;"-"&amp;RawData!$C$2&amp;"-"&amp;RawData!A20</f>
        <v>25-강남구-15</v>
      </c>
      <c r="B19" s="25"/>
      <c r="C19" s="14" t="str">
        <f>IF(RawData!S20="","-",RawData!S20)</f>
        <v>나나성형
외과의원 앞
횡단도로
(강남대로)</v>
      </c>
    </row>
    <row r="20" spans="1:3" ht="129.75" customHeight="1">
      <c r="A20" s="13" t="str">
        <f>RIGHT(RawData!$A$2,2)&amp;"-"&amp;RawData!$C$2&amp;"-"&amp;RawData!A21</f>
        <v>25-강남구-16</v>
      </c>
      <c r="B20" s="25"/>
      <c r="C20" s="14" t="str">
        <f>IF(RawData!S21="","-",RawData!S21)</f>
        <v>신논현역#3번출 앞
도로
(강남대로)</v>
      </c>
    </row>
    <row r="21" spans="1:3" ht="129.75" customHeight="1">
      <c r="A21" s="13" t="str">
        <f>RIGHT(RawData!$A$2,2)&amp;"-"&amp;RawData!$C$2&amp;"-"&amp;RawData!A22</f>
        <v>25-강남구-17</v>
      </c>
      <c r="B21" s="25"/>
      <c r="C21" s="14" t="str">
        <f>IF(RawData!S22="","-",RawData!S22)</f>
        <v>아디다스 앞
도로
(강남대로)</v>
      </c>
    </row>
    <row r="22" spans="1:3" ht="129.75" customHeight="1">
      <c r="A22" s="13" t="str">
        <f>RIGHT(RawData!$A$2,2)&amp;"-"&amp;RawData!$C$2&amp;"-"&amp;RawData!A23</f>
        <v>25-강남구-18</v>
      </c>
      <c r="B22" s="25"/>
      <c r="C22" s="14" t="str">
        <f>IF(RawData!S23="","-",RawData!S23)</f>
        <v>신논현역 #5번출구 앞
도로
(강남대로)</v>
      </c>
    </row>
    <row r="23" spans="1:3" ht="129.75" customHeight="1">
      <c r="A23" s="13" t="str">
        <f>RIGHT(RawData!$A$2,2)&amp;"-"&amp;RawData!$C$2&amp;"-"&amp;RawData!A24</f>
        <v>25-강남구-19</v>
      </c>
      <c r="B23" s="25"/>
      <c r="C23" s="14" t="str">
        <f>IF(RawData!S24="","-",RawData!S24)</f>
        <v>뮤즈의원 강남점 앞
도로
(강남대로)</v>
      </c>
    </row>
    <row r="24" spans="1:3" ht="129.75" customHeight="1">
      <c r="A24" s="13" t="str">
        <f>RIGHT(RawData!$A$2,2)&amp;"-"&amp;RawData!$C$2&amp;"-"&amp;RawData!A25</f>
        <v>25-강남구-20</v>
      </c>
      <c r="B24" s="25"/>
      <c r="C24" s="14" t="str">
        <f>IF(RawData!S25="","-",RawData!S25)</f>
        <v>커피빈 앞
도로
(강남대로)</v>
      </c>
    </row>
    <row r="25" spans="1:3" ht="129.75" customHeight="1">
      <c r="A25" s="13" t="str">
        <f>RIGHT(RawData!$A$2,2)&amp;"-"&amp;RawData!$C$2&amp;"-"&amp;RawData!A26</f>
        <v>25-강남구-21</v>
      </c>
      <c r="B25" s="25"/>
      <c r="C25" s="14" t="str">
        <f>IF(RawData!S26="","-",RawData!S26)</f>
        <v>CGV 앞
횡단보도
(강남대로)</v>
      </c>
    </row>
    <row r="26" spans="1:3" ht="129.75" customHeight="1">
      <c r="A26" s="13" t="str">
        <f>RIGHT(RawData!$A$2,2)&amp;"-"&amp;RawData!$C$2&amp;"-"&amp;RawData!A27</f>
        <v>25-강남구-22</v>
      </c>
      <c r="B26" s="25"/>
      <c r="C26" s="14" t="str">
        <f>IF(RawData!S27="","-",RawData!S27)</f>
        <v>강남e스퀘어 앞
도로
(강남대로)</v>
      </c>
    </row>
    <row r="27" spans="1:3" ht="129.75" customHeight="1">
      <c r="A27" s="13" t="str">
        <f>RIGHT(RawData!$A$2,2)&amp;"-"&amp;RawData!$C$2&amp;"-"&amp;RawData!A28</f>
        <v>25-강남구-23</v>
      </c>
      <c r="B27" s="25"/>
      <c r="C27" s="14" t="str">
        <f>IF(RawData!S28="","-",RawData!S28)</f>
        <v>ABC마트 앞
도로
(강남대로)</v>
      </c>
    </row>
    <row r="28" spans="1:3" ht="129.75" customHeight="1">
      <c r="A28" s="13" t="str">
        <f>RIGHT(RawData!$A$2,2)&amp;"-"&amp;RawData!$C$2&amp;"-"&amp;RawData!A29</f>
        <v>25-강남구-24</v>
      </c>
      <c r="B28" s="25"/>
      <c r="C28" s="14" t="str">
        <f>IF(RawData!S29="","-",RawData!S29)</f>
        <v>진우빌딩 앞
도로
(강남대로)</v>
      </c>
    </row>
    <row r="29" spans="1:3" ht="129.75" customHeight="1">
      <c r="A29" s="13" t="str">
        <f>RIGHT(RawData!$A$2,2)&amp;"-"&amp;RawData!$C$2&amp;"-"&amp;RawData!A30</f>
        <v>25-강남구-25</v>
      </c>
      <c r="B29" s="25"/>
      <c r="C29" s="14" t="str">
        <f>IF(RawData!S30="","-",RawData!S30)</f>
        <v>뉴발란스 앞
도로
(강남대로)</v>
      </c>
    </row>
    <row r="30" spans="1:3" ht="129.75" customHeight="1">
      <c r="A30" s="13" t="str">
        <f>RIGHT(RawData!$A$2,2)&amp;"-"&amp;RawData!$C$2&amp;"-"&amp;RawData!A31</f>
        <v>25-강남구-26</v>
      </c>
      <c r="B30" s="25"/>
      <c r="C30" s="14" t="str">
        <f>IF(RawData!S31="","-",RawData!S31)</f>
        <v>디자인스킨 앞
도로
(강남대로)</v>
      </c>
    </row>
    <row r="31" spans="1:3" ht="129.75" customHeight="1">
      <c r="A31" s="13" t="str">
        <f>RIGHT(RawData!$A$2,2)&amp;"-"&amp;RawData!$C$2&amp;"-"&amp;RawData!A32</f>
        <v>25-강남구-27</v>
      </c>
      <c r="B31" s="25"/>
      <c r="C31" s="14" t="str">
        <f>IF(RawData!S32="","-",RawData!S32)</f>
        <v>SC제일은행 앞
도로
(강남대로)</v>
      </c>
    </row>
    <row r="32" spans="1:3" ht="129.75" customHeight="1">
      <c r="A32" s="13"/>
      <c r="B32" s="6"/>
      <c r="C32" s="14"/>
    </row>
    <row r="33" spans="1:3" ht="129.75" customHeight="1">
      <c r="A33" s="13"/>
      <c r="B33" s="6"/>
      <c r="C33" s="14"/>
    </row>
    <row r="34" spans="1:3" ht="129.75" customHeight="1">
      <c r="A34" s="13"/>
      <c r="B34" s="6"/>
      <c r="C34" s="14"/>
    </row>
    <row r="35" spans="1:3" ht="129.75" customHeight="1">
      <c r="A35" s="13"/>
      <c r="B35" s="6"/>
      <c r="C35" s="14"/>
    </row>
    <row r="36" spans="1:3" ht="129.75" customHeight="1">
      <c r="A36" s="13"/>
      <c r="B36" s="6"/>
      <c r="C36" s="14"/>
    </row>
    <row r="37" spans="1:3" ht="129.75" customHeight="1">
      <c r="A37" s="13"/>
      <c r="B37" s="6"/>
      <c r="C37" s="14"/>
    </row>
    <row r="38" spans="1:3" ht="129.75" customHeight="1">
      <c r="A38" s="13"/>
      <c r="B38" s="6"/>
      <c r="C38" s="14"/>
    </row>
    <row r="39" spans="1:3" ht="129.75" customHeight="1">
      <c r="A39" s="13"/>
      <c r="B39" s="6"/>
      <c r="C39" s="14"/>
    </row>
    <row r="40" spans="1:3" ht="129.75" customHeight="1">
      <c r="A40" s="13"/>
      <c r="B40" s="6"/>
      <c r="C40" s="14"/>
    </row>
    <row r="41" spans="1:3" ht="129.75" customHeight="1">
      <c r="A41" s="13"/>
      <c r="B41" s="6"/>
      <c r="C41" s="14"/>
    </row>
    <row r="42" spans="1:3" ht="129.75" customHeight="1">
      <c r="A42" s="13"/>
      <c r="B42" s="6"/>
      <c r="C42" s="14"/>
    </row>
    <row r="43" spans="1:3" ht="129.75" customHeight="1">
      <c r="A43" s="13"/>
      <c r="B43" s="6"/>
      <c r="C43" s="14"/>
    </row>
    <row r="44" spans="1:3" ht="129.75" customHeight="1">
      <c r="A44" s="13"/>
      <c r="B44" s="6"/>
      <c r="C44" s="14"/>
    </row>
    <row r="45" spans="1:3" ht="129.75" customHeight="1">
      <c r="A45" s="13"/>
      <c r="B45" s="6"/>
      <c r="C45" s="14"/>
    </row>
    <row r="46" spans="1:3" ht="129.75" customHeight="1">
      <c r="A46" s="13"/>
      <c r="B46" s="6"/>
      <c r="C46" s="14"/>
    </row>
    <row r="47" spans="1:3" ht="129.75" customHeight="1">
      <c r="A47" s="15"/>
      <c r="B47" s="16"/>
      <c r="C47" s="15"/>
    </row>
  </sheetData>
  <phoneticPr fontId="9" type="noConversion"/>
  <pageMargins left="0.70833333333333304" right="0.70833333333333304" top="0.74791666666666701" bottom="0.74791666666666701" header="0.511811023622047" footer="0.511811023622047"/>
  <pageSetup paperSize="9" scale="79" orientation="portrait" horizontalDpi="300" verticalDpi="300" r:id="rId1"/>
  <rowBreaks count="1" manualBreakCount="1">
    <brk id="17" max="2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workbookViewId="0">
      <selection activeCell="S23" sqref="S23"/>
    </sheetView>
  </sheetViews>
  <sheetFormatPr defaultColWidth="8.5" defaultRowHeight="16.5"/>
  <cols>
    <col min="3" max="3" width="11.625" style="10" customWidth="1"/>
    <col min="8" max="8" width="13.875" style="10" customWidth="1"/>
    <col min="13" max="13" width="13.875" style="10" customWidth="1"/>
    <col min="14" max="15" width="4.375" style="10" customWidth="1"/>
    <col min="16" max="16" width="11.625" style="10" customWidth="1"/>
  </cols>
  <sheetData>
    <row r="2" spans="1:19">
      <c r="A2" s="17" t="s">
        <v>56</v>
      </c>
      <c r="B2" s="12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9" ht="6.75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9">
      <c r="A4" s="30" t="s">
        <v>57</v>
      </c>
      <c r="B4" s="30"/>
      <c r="C4" s="30" t="s">
        <v>58</v>
      </c>
      <c r="D4" s="30"/>
      <c r="E4" s="30" t="s">
        <v>59</v>
      </c>
      <c r="F4" s="30"/>
      <c r="G4" s="30" t="s">
        <v>60</v>
      </c>
      <c r="H4" s="30"/>
      <c r="I4" s="30"/>
      <c r="J4" s="30" t="s">
        <v>61</v>
      </c>
      <c r="K4" s="30"/>
      <c r="L4" s="30"/>
      <c r="M4" s="30" t="s">
        <v>62</v>
      </c>
      <c r="N4" s="30"/>
      <c r="O4" s="30"/>
      <c r="P4" s="30"/>
    </row>
    <row r="5" spans="1:19">
      <c r="A5" s="30" t="s">
        <v>63</v>
      </c>
      <c r="B5" s="30"/>
      <c r="C5" s="30" t="s">
        <v>4</v>
      </c>
      <c r="D5" s="30"/>
      <c r="E5" s="30" t="s">
        <v>64</v>
      </c>
      <c r="F5" s="30"/>
      <c r="G5" s="31" t="s">
        <v>65</v>
      </c>
      <c r="H5" s="31"/>
      <c r="I5" s="31"/>
      <c r="J5" s="30" t="s">
        <v>64</v>
      </c>
      <c r="K5" s="30"/>
      <c r="L5" s="30"/>
      <c r="M5" s="30" t="s">
        <v>66</v>
      </c>
      <c r="N5" s="30"/>
      <c r="O5" s="30"/>
      <c r="P5" s="30"/>
    </row>
    <row r="6" spans="1:19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</row>
    <row r="7" spans="1:19" ht="16.5" customHeight="1">
      <c r="A7" s="28" t="s">
        <v>5</v>
      </c>
      <c r="B7" s="28" t="s">
        <v>6</v>
      </c>
      <c r="C7" s="28" t="s">
        <v>7</v>
      </c>
      <c r="D7" s="29" t="s">
        <v>67</v>
      </c>
      <c r="E7" s="29"/>
      <c r="F7" s="29"/>
      <c r="G7" s="29"/>
      <c r="H7" s="29"/>
      <c r="I7" s="29" t="s">
        <v>68</v>
      </c>
      <c r="J7" s="29"/>
      <c r="K7" s="29"/>
      <c r="L7" s="29"/>
      <c r="M7" s="29"/>
      <c r="N7" s="28" t="s">
        <v>16</v>
      </c>
      <c r="O7" s="28" t="s">
        <v>17</v>
      </c>
      <c r="P7" s="28" t="s">
        <v>18</v>
      </c>
    </row>
    <row r="8" spans="1:19" s="21" customFormat="1" ht="24.75" customHeight="1">
      <c r="A8" s="28"/>
      <c r="B8" s="28"/>
      <c r="C8" s="28"/>
      <c r="D8" s="19" t="s">
        <v>69</v>
      </c>
      <c r="E8" s="19" t="s">
        <v>9</v>
      </c>
      <c r="F8" s="19" t="s">
        <v>10</v>
      </c>
      <c r="G8" s="19" t="s">
        <v>70</v>
      </c>
      <c r="H8" s="19" t="s">
        <v>71</v>
      </c>
      <c r="I8" s="19" t="s">
        <v>13</v>
      </c>
      <c r="J8" s="19" t="s">
        <v>9</v>
      </c>
      <c r="K8" s="19" t="s">
        <v>10</v>
      </c>
      <c r="L8" s="19" t="s">
        <v>14</v>
      </c>
      <c r="M8" s="19" t="s">
        <v>15</v>
      </c>
      <c r="N8" s="28"/>
      <c r="O8" s="28"/>
      <c r="P8" s="28"/>
      <c r="Q8" s="20"/>
      <c r="R8" s="20"/>
      <c r="S8" s="20"/>
    </row>
    <row r="9" spans="1:19">
      <c r="A9" s="13">
        <v>1</v>
      </c>
      <c r="B9" s="13" t="str">
        <f>RawData!B6</f>
        <v>강남대로</v>
      </c>
      <c r="C9" s="13" t="str">
        <f>RIGHT(RawData!$A$2,2)&amp;"-"&amp;RawData!$C$2&amp;"-"&amp;RawData!A6</f>
        <v>25-강남구-1</v>
      </c>
      <c r="D9" s="13" t="str">
        <f>RawData!D6</f>
        <v>양호</v>
      </c>
      <c r="E9" s="13" t="str">
        <f>RawData!E6</f>
        <v>종균열</v>
      </c>
      <c r="F9" s="13" t="str">
        <f>RawData!F6</f>
        <v>양호</v>
      </c>
      <c r="G9" s="13">
        <f>RawData!G6</f>
        <v>2</v>
      </c>
      <c r="H9" s="13" t="str">
        <f>RawData!H6</f>
        <v>-</v>
      </c>
      <c r="I9" s="13">
        <f t="shared" ref="I9:I35" si="0">IF(D9="양호",0,IF(D9&gt;=100,9,IF(D9&gt;=50,3,IF(D9&lt;50,0))))</f>
        <v>0</v>
      </c>
      <c r="J9" s="13">
        <f t="shared" ref="J9:J35" si="1">IF(E9="거북등",3,IF(RIGHT(E9,2)="균열",1,IF(E9="-",0)))</f>
        <v>1</v>
      </c>
      <c r="K9" s="13">
        <f t="shared" ref="K9:K35" si="2">IF(F9="유출",9,IF(F9="습윤",1,IF(F9="양호",0,IF(F9="건조",0))))</f>
        <v>0</v>
      </c>
      <c r="L9" s="13">
        <f t="shared" ref="L9:L35" si="3">IF(G9&lt;10,0,IF(G9&lt;30,1,IF(G9&gt;=30,2)))</f>
        <v>0</v>
      </c>
      <c r="M9" s="13">
        <f t="shared" ref="M9:M35" si="4">IF(H9="-",0,1)</f>
        <v>0</v>
      </c>
      <c r="N9" s="13">
        <f t="shared" ref="N9:N35" si="5">SUM(I9:M9)</f>
        <v>1</v>
      </c>
      <c r="O9" s="13" t="str">
        <f t="shared" ref="O9:O35" si="6">IF(N9&lt;6,"일반",IF(N9&lt;9,"우선",IF(N9&gt;=9,"긴급")))</f>
        <v>일반</v>
      </c>
      <c r="P9" s="13">
        <f>RawData!P6</f>
        <v>0</v>
      </c>
    </row>
    <row r="10" spans="1:19">
      <c r="A10" s="13">
        <v>2</v>
      </c>
      <c r="B10" s="13" t="str">
        <f>RawData!B7</f>
        <v>강남대로</v>
      </c>
      <c r="C10" s="13" t="str">
        <f>RIGHT(RawData!$A$2,2)&amp;"-"&amp;RawData!$C$2&amp;"-"&amp;RawData!A7</f>
        <v>25-강남구-2</v>
      </c>
      <c r="D10" s="13" t="str">
        <f>RawData!D7</f>
        <v>양호</v>
      </c>
      <c r="E10" s="13" t="str">
        <f>RawData!E7</f>
        <v>-</v>
      </c>
      <c r="F10" s="13" t="str">
        <f>RawData!F7</f>
        <v>양호</v>
      </c>
      <c r="G10" s="13">
        <f>RawData!G7</f>
        <v>2</v>
      </c>
      <c r="H10" s="13" t="str">
        <f>RawData!H7</f>
        <v>-</v>
      </c>
      <c r="I10" s="13">
        <f t="shared" si="0"/>
        <v>0</v>
      </c>
      <c r="J10" s="13">
        <f t="shared" si="1"/>
        <v>0</v>
      </c>
      <c r="K10" s="13">
        <f t="shared" si="2"/>
        <v>0</v>
      </c>
      <c r="L10" s="13">
        <f t="shared" si="3"/>
        <v>0</v>
      </c>
      <c r="M10" s="13">
        <f t="shared" si="4"/>
        <v>0</v>
      </c>
      <c r="N10" s="13">
        <f t="shared" si="5"/>
        <v>0</v>
      </c>
      <c r="O10" s="13" t="str">
        <f t="shared" si="6"/>
        <v>일반</v>
      </c>
      <c r="P10" s="13" t="str">
        <f>RawData!P7</f>
        <v>5cm미만 침하</v>
      </c>
    </row>
    <row r="11" spans="1:19">
      <c r="A11" s="13">
        <v>3</v>
      </c>
      <c r="B11" s="13" t="str">
        <f>RawData!B8</f>
        <v>강남대로</v>
      </c>
      <c r="C11" s="13" t="str">
        <f>RIGHT(RawData!$A$2,2)&amp;"-"&amp;RawData!$C$2&amp;"-"&amp;RawData!A8</f>
        <v>25-강남구-3</v>
      </c>
      <c r="D11" s="13" t="str">
        <f>RawData!D8</f>
        <v>양호</v>
      </c>
      <c r="E11" s="13" t="str">
        <f>RawData!E8</f>
        <v>거북등</v>
      </c>
      <c r="F11" s="13" t="str">
        <f>RawData!F8</f>
        <v>양호</v>
      </c>
      <c r="G11" s="13">
        <f>RawData!G8</f>
        <v>2</v>
      </c>
      <c r="H11" s="13" t="str">
        <f>RawData!H8</f>
        <v>-</v>
      </c>
      <c r="I11" s="13">
        <f t="shared" si="0"/>
        <v>0</v>
      </c>
      <c r="J11" s="13">
        <f t="shared" si="1"/>
        <v>3</v>
      </c>
      <c r="K11" s="13">
        <f t="shared" si="2"/>
        <v>0</v>
      </c>
      <c r="L11" s="13">
        <f t="shared" si="3"/>
        <v>0</v>
      </c>
      <c r="M11" s="13">
        <f t="shared" si="4"/>
        <v>0</v>
      </c>
      <c r="N11" s="13">
        <f t="shared" si="5"/>
        <v>3</v>
      </c>
      <c r="O11" s="13" t="str">
        <f t="shared" si="6"/>
        <v>일반</v>
      </c>
      <c r="P11" s="13">
        <f>RawData!P8</f>
        <v>0</v>
      </c>
    </row>
    <row r="12" spans="1:19">
      <c r="A12" s="13">
        <v>4</v>
      </c>
      <c r="B12" s="13" t="str">
        <f>RawData!B9</f>
        <v>강남대로</v>
      </c>
      <c r="C12" s="13" t="str">
        <f>RIGHT(RawData!$A$2,2)&amp;"-"&amp;RawData!$C$2&amp;"-"&amp;RawData!A9</f>
        <v>25-강남구-4</v>
      </c>
      <c r="D12" s="13" t="str">
        <f>RawData!D9</f>
        <v>양호</v>
      </c>
      <c r="E12" s="13" t="str">
        <f>RawData!E9</f>
        <v>거북등</v>
      </c>
      <c r="F12" s="13" t="str">
        <f>RawData!F9</f>
        <v>양호</v>
      </c>
      <c r="G12" s="13">
        <f>RawData!G9</f>
        <v>2</v>
      </c>
      <c r="H12" s="13" t="str">
        <f>RawData!H9</f>
        <v>-</v>
      </c>
      <c r="I12" s="13">
        <f t="shared" si="0"/>
        <v>0</v>
      </c>
      <c r="J12" s="13">
        <f t="shared" si="1"/>
        <v>3</v>
      </c>
      <c r="K12" s="13">
        <f t="shared" si="2"/>
        <v>0</v>
      </c>
      <c r="L12" s="13">
        <f t="shared" si="3"/>
        <v>0</v>
      </c>
      <c r="M12" s="13">
        <f t="shared" si="4"/>
        <v>0</v>
      </c>
      <c r="N12" s="13">
        <f t="shared" si="5"/>
        <v>3</v>
      </c>
      <c r="O12" s="13" t="str">
        <f t="shared" si="6"/>
        <v>일반</v>
      </c>
      <c r="P12" s="13">
        <f>RawData!P9</f>
        <v>0</v>
      </c>
    </row>
    <row r="13" spans="1:19">
      <c r="A13" s="13">
        <v>5</v>
      </c>
      <c r="B13" s="13" t="str">
        <f>RawData!B10</f>
        <v>강남대로</v>
      </c>
      <c r="C13" s="13" t="str">
        <f>RIGHT(RawData!$A$2,2)&amp;"-"&amp;RawData!$C$2&amp;"-"&amp;RawData!A10</f>
        <v>25-강남구-5</v>
      </c>
      <c r="D13" s="13" t="str">
        <f>RawData!D10</f>
        <v>양호</v>
      </c>
      <c r="E13" s="13" t="str">
        <f>RawData!E10</f>
        <v>거북등</v>
      </c>
      <c r="F13" s="13" t="str">
        <f>RawData!F10</f>
        <v>양호</v>
      </c>
      <c r="G13" s="13">
        <f>RawData!G10</f>
        <v>2</v>
      </c>
      <c r="H13" s="13" t="str">
        <f>RawData!H10</f>
        <v>-</v>
      </c>
      <c r="I13" s="13">
        <f t="shared" si="0"/>
        <v>0</v>
      </c>
      <c r="J13" s="13">
        <f t="shared" si="1"/>
        <v>3</v>
      </c>
      <c r="K13" s="13">
        <f t="shared" si="2"/>
        <v>0</v>
      </c>
      <c r="L13" s="13">
        <f t="shared" si="3"/>
        <v>0</v>
      </c>
      <c r="M13" s="13">
        <f t="shared" si="4"/>
        <v>0</v>
      </c>
      <c r="N13" s="13">
        <f t="shared" si="5"/>
        <v>3</v>
      </c>
      <c r="O13" s="13" t="str">
        <f t="shared" si="6"/>
        <v>일반</v>
      </c>
      <c r="P13" s="13">
        <f>RawData!P10</f>
        <v>0</v>
      </c>
    </row>
    <row r="14" spans="1:19">
      <c r="A14" s="13">
        <v>6</v>
      </c>
      <c r="B14" s="13" t="str">
        <f>RawData!B11</f>
        <v>강남대로</v>
      </c>
      <c r="C14" s="13" t="str">
        <f>RIGHT(RawData!$A$2,2)&amp;"-"&amp;RawData!$C$2&amp;"-"&amp;RawData!A11</f>
        <v>25-강남구-6</v>
      </c>
      <c r="D14" s="13" t="str">
        <f>RawData!D11</f>
        <v>양호</v>
      </c>
      <c r="E14" s="13" t="str">
        <f>RawData!E11</f>
        <v>거북등</v>
      </c>
      <c r="F14" s="13" t="str">
        <f>RawData!F11</f>
        <v>양호</v>
      </c>
      <c r="G14" s="13">
        <f>RawData!G11</f>
        <v>2</v>
      </c>
      <c r="H14" s="13" t="str">
        <f>RawData!H11</f>
        <v>-</v>
      </c>
      <c r="I14" s="13">
        <f t="shared" si="0"/>
        <v>0</v>
      </c>
      <c r="J14" s="13">
        <f t="shared" si="1"/>
        <v>3</v>
      </c>
      <c r="K14" s="13">
        <f t="shared" si="2"/>
        <v>0</v>
      </c>
      <c r="L14" s="13">
        <f t="shared" si="3"/>
        <v>0</v>
      </c>
      <c r="M14" s="13">
        <f t="shared" si="4"/>
        <v>0</v>
      </c>
      <c r="N14" s="13">
        <f t="shared" si="5"/>
        <v>3</v>
      </c>
      <c r="O14" s="13" t="str">
        <f t="shared" si="6"/>
        <v>일반</v>
      </c>
      <c r="P14" s="13">
        <f>RawData!P11</f>
        <v>0</v>
      </c>
    </row>
    <row r="15" spans="1:19">
      <c r="A15" s="13">
        <v>7</v>
      </c>
      <c r="B15" s="13" t="str">
        <f>RawData!B12</f>
        <v>강남대로</v>
      </c>
      <c r="C15" s="13" t="str">
        <f>RIGHT(RawData!$A$2,2)&amp;"-"&amp;RawData!$C$2&amp;"-"&amp;RawData!A12</f>
        <v>25-강남구-7</v>
      </c>
      <c r="D15" s="13" t="str">
        <f>RawData!D12</f>
        <v>양호</v>
      </c>
      <c r="E15" s="13" t="str">
        <f>RawData!E12</f>
        <v>거북등</v>
      </c>
      <c r="F15" s="13" t="str">
        <f>RawData!F12</f>
        <v>양호</v>
      </c>
      <c r="G15" s="13">
        <f>RawData!G12</f>
        <v>2</v>
      </c>
      <c r="H15" s="13" t="str">
        <f>RawData!H12</f>
        <v>-</v>
      </c>
      <c r="I15" s="13">
        <f t="shared" si="0"/>
        <v>0</v>
      </c>
      <c r="J15" s="13">
        <f t="shared" si="1"/>
        <v>3</v>
      </c>
      <c r="K15" s="13">
        <f t="shared" si="2"/>
        <v>0</v>
      </c>
      <c r="L15" s="13">
        <f t="shared" si="3"/>
        <v>0</v>
      </c>
      <c r="M15" s="13">
        <f t="shared" si="4"/>
        <v>0</v>
      </c>
      <c r="N15" s="13">
        <f t="shared" si="5"/>
        <v>3</v>
      </c>
      <c r="O15" s="13" t="str">
        <f t="shared" si="6"/>
        <v>일반</v>
      </c>
      <c r="P15" s="13">
        <f>RawData!P12</f>
        <v>0</v>
      </c>
    </row>
    <row r="16" spans="1:19">
      <c r="A16" s="13">
        <v>8</v>
      </c>
      <c r="B16" s="13" t="str">
        <f>RawData!B13</f>
        <v>강남대로</v>
      </c>
      <c r="C16" s="13" t="str">
        <f>RIGHT(RawData!$A$2,2)&amp;"-"&amp;RawData!$C$2&amp;"-"&amp;RawData!A13</f>
        <v>25-강남구-8</v>
      </c>
      <c r="D16" s="13" t="str">
        <f>RawData!D13</f>
        <v>양호</v>
      </c>
      <c r="E16" s="13" t="str">
        <f>RawData!E13</f>
        <v>거북등</v>
      </c>
      <c r="F16" s="13" t="str">
        <f>RawData!F13</f>
        <v>양호</v>
      </c>
      <c r="G16" s="13">
        <f>RawData!G13</f>
        <v>2</v>
      </c>
      <c r="H16" s="13" t="str">
        <f>RawData!H13</f>
        <v>-</v>
      </c>
      <c r="I16" s="13">
        <f t="shared" si="0"/>
        <v>0</v>
      </c>
      <c r="J16" s="13">
        <f t="shared" si="1"/>
        <v>3</v>
      </c>
      <c r="K16" s="13">
        <f t="shared" si="2"/>
        <v>0</v>
      </c>
      <c r="L16" s="13">
        <f t="shared" si="3"/>
        <v>0</v>
      </c>
      <c r="M16" s="13">
        <f t="shared" si="4"/>
        <v>0</v>
      </c>
      <c r="N16" s="13">
        <f t="shared" si="5"/>
        <v>3</v>
      </c>
      <c r="O16" s="13" t="str">
        <f t="shared" si="6"/>
        <v>일반</v>
      </c>
      <c r="P16" s="13">
        <f>RawData!P13</f>
        <v>0</v>
      </c>
    </row>
    <row r="17" spans="1:16">
      <c r="A17" s="13">
        <v>9</v>
      </c>
      <c r="B17" s="13" t="str">
        <f>RawData!B14</f>
        <v>강남대로</v>
      </c>
      <c r="C17" s="13" t="str">
        <f>RIGHT(RawData!$A$2,2)&amp;"-"&amp;RawData!$C$2&amp;"-"&amp;RawData!A14</f>
        <v>25-강남구-9</v>
      </c>
      <c r="D17" s="13" t="str">
        <f>RawData!D14</f>
        <v>양호</v>
      </c>
      <c r="E17" s="13" t="str">
        <f>RawData!E14</f>
        <v>-</v>
      </c>
      <c r="F17" s="13" t="str">
        <f>RawData!F14</f>
        <v>양호</v>
      </c>
      <c r="G17" s="13">
        <f>RawData!G14</f>
        <v>2</v>
      </c>
      <c r="H17" s="13" t="str">
        <f>RawData!H14</f>
        <v>-</v>
      </c>
      <c r="I17" s="13">
        <f t="shared" si="0"/>
        <v>0</v>
      </c>
      <c r="J17" s="13">
        <f t="shared" si="1"/>
        <v>0</v>
      </c>
      <c r="K17" s="13">
        <f t="shared" si="2"/>
        <v>0</v>
      </c>
      <c r="L17" s="13">
        <f t="shared" si="3"/>
        <v>0</v>
      </c>
      <c r="M17" s="13">
        <f t="shared" si="4"/>
        <v>0</v>
      </c>
      <c r="N17" s="13">
        <f t="shared" si="5"/>
        <v>0</v>
      </c>
      <c r="O17" s="13" t="str">
        <f t="shared" si="6"/>
        <v>일반</v>
      </c>
      <c r="P17" s="13" t="str">
        <f>RawData!P14</f>
        <v>5cm미만 침하</v>
      </c>
    </row>
    <row r="18" spans="1:16">
      <c r="A18" s="13">
        <v>10</v>
      </c>
      <c r="B18" s="13" t="str">
        <f>RawData!B15</f>
        <v>강남대로</v>
      </c>
      <c r="C18" s="13" t="str">
        <f>RIGHT(RawData!$A$2,2)&amp;"-"&amp;RawData!$C$2&amp;"-"&amp;RawData!A15</f>
        <v>25-강남구-10</v>
      </c>
      <c r="D18" s="13" t="str">
        <f>RawData!D15</f>
        <v>양호</v>
      </c>
      <c r="E18" s="13" t="str">
        <f>RawData!E15</f>
        <v>거북등</v>
      </c>
      <c r="F18" s="13" t="str">
        <f>RawData!F15</f>
        <v>양호</v>
      </c>
      <c r="G18" s="13">
        <f>RawData!G15</f>
        <v>2</v>
      </c>
      <c r="H18" s="13" t="str">
        <f>RawData!H15</f>
        <v>-</v>
      </c>
      <c r="I18" s="13">
        <f t="shared" si="0"/>
        <v>0</v>
      </c>
      <c r="J18" s="13">
        <f t="shared" si="1"/>
        <v>3</v>
      </c>
      <c r="K18" s="13">
        <f t="shared" si="2"/>
        <v>0</v>
      </c>
      <c r="L18" s="13">
        <f t="shared" si="3"/>
        <v>0</v>
      </c>
      <c r="M18" s="13">
        <f t="shared" si="4"/>
        <v>0</v>
      </c>
      <c r="N18" s="13">
        <f t="shared" si="5"/>
        <v>3</v>
      </c>
      <c r="O18" s="13" t="str">
        <f t="shared" si="6"/>
        <v>일반</v>
      </c>
      <c r="P18" s="13">
        <f>RawData!P15</f>
        <v>0</v>
      </c>
    </row>
    <row r="19" spans="1:16">
      <c r="A19" s="13">
        <v>11</v>
      </c>
      <c r="B19" s="13" t="str">
        <f>RawData!B16</f>
        <v>강남대로</v>
      </c>
      <c r="C19" s="13" t="str">
        <f>RIGHT(RawData!$A$2,2)&amp;"-"&amp;RawData!$C$2&amp;"-"&amp;RawData!A16</f>
        <v>25-강남구-11</v>
      </c>
      <c r="D19" s="13" t="str">
        <f>RawData!D16</f>
        <v>양호</v>
      </c>
      <c r="E19" s="13" t="str">
        <f>RawData!E16</f>
        <v>거북등</v>
      </c>
      <c r="F19" s="13" t="str">
        <f>RawData!F16</f>
        <v>양호</v>
      </c>
      <c r="G19" s="13">
        <f>RawData!G16</f>
        <v>2</v>
      </c>
      <c r="H19" s="13" t="str">
        <f>RawData!H16</f>
        <v>-</v>
      </c>
      <c r="I19" s="13">
        <f t="shared" si="0"/>
        <v>0</v>
      </c>
      <c r="J19" s="13">
        <f t="shared" si="1"/>
        <v>3</v>
      </c>
      <c r="K19" s="13">
        <f t="shared" si="2"/>
        <v>0</v>
      </c>
      <c r="L19" s="13">
        <f t="shared" si="3"/>
        <v>0</v>
      </c>
      <c r="M19" s="13">
        <f t="shared" si="4"/>
        <v>0</v>
      </c>
      <c r="N19" s="13">
        <f t="shared" si="5"/>
        <v>3</v>
      </c>
      <c r="O19" s="13" t="str">
        <f t="shared" si="6"/>
        <v>일반</v>
      </c>
      <c r="P19" s="13">
        <f>RawData!P16</f>
        <v>0</v>
      </c>
    </row>
    <row r="20" spans="1:16">
      <c r="A20" s="13">
        <v>12</v>
      </c>
      <c r="B20" s="13" t="str">
        <f>RawData!B17</f>
        <v>강남대로</v>
      </c>
      <c r="C20" s="13" t="str">
        <f>RIGHT(RawData!$A$2,2)&amp;"-"&amp;RawData!$C$2&amp;"-"&amp;RawData!A17</f>
        <v>25-강남구-12</v>
      </c>
      <c r="D20" s="13" t="str">
        <f>RawData!D17</f>
        <v>양호</v>
      </c>
      <c r="E20" s="13" t="str">
        <f>RawData!E17</f>
        <v>거북등</v>
      </c>
      <c r="F20" s="13" t="str">
        <f>RawData!F17</f>
        <v>양호</v>
      </c>
      <c r="G20" s="13">
        <f>RawData!G17</f>
        <v>2</v>
      </c>
      <c r="H20" s="13" t="str">
        <f>RawData!H17</f>
        <v>-</v>
      </c>
      <c r="I20" s="13">
        <f t="shared" si="0"/>
        <v>0</v>
      </c>
      <c r="J20" s="13">
        <f t="shared" si="1"/>
        <v>3</v>
      </c>
      <c r="K20" s="13">
        <f t="shared" si="2"/>
        <v>0</v>
      </c>
      <c r="L20" s="13">
        <f t="shared" si="3"/>
        <v>0</v>
      </c>
      <c r="M20" s="13">
        <f t="shared" si="4"/>
        <v>0</v>
      </c>
      <c r="N20" s="13">
        <f t="shared" si="5"/>
        <v>3</v>
      </c>
      <c r="O20" s="13" t="str">
        <f t="shared" si="6"/>
        <v>일반</v>
      </c>
      <c r="P20" s="13">
        <f>RawData!P17</f>
        <v>0</v>
      </c>
    </row>
    <row r="21" spans="1:16">
      <c r="A21" s="13">
        <v>13</v>
      </c>
      <c r="B21" s="13" t="str">
        <f>RawData!B18</f>
        <v>강남대로</v>
      </c>
      <c r="C21" s="13" t="str">
        <f>RIGHT(RawData!$A$2,2)&amp;"-"&amp;RawData!$C$2&amp;"-"&amp;RawData!A18</f>
        <v>25-강남구-13</v>
      </c>
      <c r="D21" s="13" t="str">
        <f>RawData!D18</f>
        <v>양호</v>
      </c>
      <c r="E21" s="13" t="str">
        <f>RawData!E18</f>
        <v>거북등</v>
      </c>
      <c r="F21" s="13" t="str">
        <f>RawData!F18</f>
        <v>양호</v>
      </c>
      <c r="G21" s="13">
        <f>RawData!G18</f>
        <v>2</v>
      </c>
      <c r="H21" s="13" t="str">
        <f>RawData!H18</f>
        <v>-</v>
      </c>
      <c r="I21" s="13">
        <f t="shared" si="0"/>
        <v>0</v>
      </c>
      <c r="J21" s="13">
        <f t="shared" si="1"/>
        <v>3</v>
      </c>
      <c r="K21" s="13">
        <f t="shared" si="2"/>
        <v>0</v>
      </c>
      <c r="L21" s="13">
        <f t="shared" si="3"/>
        <v>0</v>
      </c>
      <c r="M21" s="13">
        <f t="shared" si="4"/>
        <v>0</v>
      </c>
      <c r="N21" s="13">
        <f t="shared" si="5"/>
        <v>3</v>
      </c>
      <c r="O21" s="13" t="str">
        <f t="shared" si="6"/>
        <v>일반</v>
      </c>
      <c r="P21" s="13">
        <f>RawData!P18</f>
        <v>0</v>
      </c>
    </row>
    <row r="22" spans="1:16">
      <c r="A22" s="13">
        <v>14</v>
      </c>
      <c r="B22" s="13" t="str">
        <f>RawData!B19</f>
        <v>강남대로</v>
      </c>
      <c r="C22" s="13" t="str">
        <f>RIGHT(RawData!$A$2,2)&amp;"-"&amp;RawData!$C$2&amp;"-"&amp;RawData!A19</f>
        <v>25-강남구-14</v>
      </c>
      <c r="D22" s="13" t="str">
        <f>RawData!D19</f>
        <v>양호</v>
      </c>
      <c r="E22" s="13" t="str">
        <f>RawData!E19</f>
        <v>-</v>
      </c>
      <c r="F22" s="13" t="str">
        <f>RawData!F19</f>
        <v>양호</v>
      </c>
      <c r="G22" s="13">
        <f>RawData!G19</f>
        <v>2</v>
      </c>
      <c r="H22" s="13" t="str">
        <f>RawData!H19</f>
        <v>-</v>
      </c>
      <c r="I22" s="13">
        <f t="shared" si="0"/>
        <v>0</v>
      </c>
      <c r="J22" s="13">
        <f t="shared" si="1"/>
        <v>0</v>
      </c>
      <c r="K22" s="13">
        <f t="shared" si="2"/>
        <v>0</v>
      </c>
      <c r="L22" s="13">
        <f t="shared" si="3"/>
        <v>0</v>
      </c>
      <c r="M22" s="13">
        <f t="shared" si="4"/>
        <v>0</v>
      </c>
      <c r="N22" s="13">
        <f t="shared" si="5"/>
        <v>0</v>
      </c>
      <c r="O22" s="13" t="str">
        <f t="shared" si="6"/>
        <v>일반</v>
      </c>
      <c r="P22" s="13" t="str">
        <f>RawData!P19</f>
        <v>5cm미만 침하</v>
      </c>
    </row>
    <row r="23" spans="1:16">
      <c r="A23" s="13">
        <v>15</v>
      </c>
      <c r="B23" s="13" t="str">
        <f>RawData!B20</f>
        <v>강남대로</v>
      </c>
      <c r="C23" s="13" t="str">
        <f>RIGHT(RawData!$A$2,2)&amp;"-"&amp;RawData!$C$2&amp;"-"&amp;RawData!A20</f>
        <v>25-강남구-15</v>
      </c>
      <c r="D23" s="13" t="str">
        <f>RawData!D20</f>
        <v>양호</v>
      </c>
      <c r="E23" s="13" t="str">
        <f>RawData!E20</f>
        <v>종균열</v>
      </c>
      <c r="F23" s="13" t="str">
        <f>RawData!F20</f>
        <v>양호</v>
      </c>
      <c r="G23" s="13">
        <f>RawData!G20</f>
        <v>2</v>
      </c>
      <c r="H23" s="13" t="str">
        <f>RawData!H20</f>
        <v>-</v>
      </c>
      <c r="I23" s="13">
        <f t="shared" si="0"/>
        <v>0</v>
      </c>
      <c r="J23" s="13">
        <f t="shared" si="1"/>
        <v>1</v>
      </c>
      <c r="K23" s="13">
        <f t="shared" si="2"/>
        <v>0</v>
      </c>
      <c r="L23" s="13">
        <f t="shared" si="3"/>
        <v>0</v>
      </c>
      <c r="M23" s="13">
        <f t="shared" si="4"/>
        <v>0</v>
      </c>
      <c r="N23" s="13">
        <f t="shared" si="5"/>
        <v>1</v>
      </c>
      <c r="O23" s="13" t="str">
        <f t="shared" si="6"/>
        <v>일반</v>
      </c>
      <c r="P23" s="13">
        <f>RawData!P20</f>
        <v>0</v>
      </c>
    </row>
    <row r="24" spans="1:16">
      <c r="A24" s="13">
        <v>16</v>
      </c>
      <c r="B24" s="13" t="str">
        <f>RawData!B21</f>
        <v>강남대로</v>
      </c>
      <c r="C24" s="13" t="str">
        <f>RIGHT(RawData!$A$2,2)&amp;"-"&amp;RawData!$C$2&amp;"-"&amp;RawData!A21</f>
        <v>25-강남구-16</v>
      </c>
      <c r="D24" s="13" t="str">
        <f>RawData!D21</f>
        <v>양호</v>
      </c>
      <c r="E24" s="13" t="str">
        <f>RawData!E21</f>
        <v>종균열</v>
      </c>
      <c r="F24" s="13" t="str">
        <f>RawData!F21</f>
        <v>양호</v>
      </c>
      <c r="G24" s="13">
        <f>RawData!G21</f>
        <v>2</v>
      </c>
      <c r="H24" s="13" t="str">
        <f>RawData!H21</f>
        <v>-</v>
      </c>
      <c r="I24" s="13">
        <f t="shared" si="0"/>
        <v>0</v>
      </c>
      <c r="J24" s="13">
        <f t="shared" si="1"/>
        <v>1</v>
      </c>
      <c r="K24" s="13">
        <f t="shared" si="2"/>
        <v>0</v>
      </c>
      <c r="L24" s="13">
        <f t="shared" si="3"/>
        <v>0</v>
      </c>
      <c r="M24" s="13">
        <f t="shared" si="4"/>
        <v>0</v>
      </c>
      <c r="N24" s="13">
        <f t="shared" si="5"/>
        <v>1</v>
      </c>
      <c r="O24" s="13" t="str">
        <f t="shared" si="6"/>
        <v>일반</v>
      </c>
      <c r="P24" s="13">
        <f>RawData!P21</f>
        <v>0</v>
      </c>
    </row>
    <row r="25" spans="1:16">
      <c r="A25" s="13">
        <v>17</v>
      </c>
      <c r="B25" s="13" t="str">
        <f>RawData!B22</f>
        <v>강남대로</v>
      </c>
      <c r="C25" s="13" t="str">
        <f>RIGHT(RawData!$A$2,2)&amp;"-"&amp;RawData!$C$2&amp;"-"&amp;RawData!A22</f>
        <v>25-강남구-17</v>
      </c>
      <c r="D25" s="13" t="str">
        <f>RawData!D22</f>
        <v>양호</v>
      </c>
      <c r="E25" s="13" t="str">
        <f>RawData!E22</f>
        <v>거북등</v>
      </c>
      <c r="F25" s="13" t="str">
        <f>RawData!F22</f>
        <v>양호</v>
      </c>
      <c r="G25" s="13">
        <f>RawData!G22</f>
        <v>2</v>
      </c>
      <c r="H25" s="13" t="str">
        <f>RawData!H22</f>
        <v>-</v>
      </c>
      <c r="I25" s="13">
        <f t="shared" si="0"/>
        <v>0</v>
      </c>
      <c r="J25" s="13">
        <f t="shared" si="1"/>
        <v>3</v>
      </c>
      <c r="K25" s="13">
        <f t="shared" si="2"/>
        <v>0</v>
      </c>
      <c r="L25" s="13">
        <f t="shared" si="3"/>
        <v>0</v>
      </c>
      <c r="M25" s="13">
        <f t="shared" si="4"/>
        <v>0</v>
      </c>
      <c r="N25" s="13">
        <f t="shared" si="5"/>
        <v>3</v>
      </c>
      <c r="O25" s="13" t="str">
        <f t="shared" si="6"/>
        <v>일반</v>
      </c>
      <c r="P25" s="13">
        <f>RawData!P22</f>
        <v>0</v>
      </c>
    </row>
    <row r="26" spans="1:16">
      <c r="A26" s="13">
        <v>18</v>
      </c>
      <c r="B26" s="13" t="str">
        <f>RawData!B23</f>
        <v>강남대로</v>
      </c>
      <c r="C26" s="13" t="str">
        <f>RIGHT(RawData!$A$2,2)&amp;"-"&amp;RawData!$C$2&amp;"-"&amp;RawData!A23</f>
        <v>25-강남구-18</v>
      </c>
      <c r="D26" s="13" t="str">
        <f>RawData!D23</f>
        <v>양호</v>
      </c>
      <c r="E26" s="13" t="str">
        <f>RawData!E23</f>
        <v>거북등</v>
      </c>
      <c r="F26" s="13" t="str">
        <f>RawData!F23</f>
        <v>양호</v>
      </c>
      <c r="G26" s="13">
        <f>RawData!G23</f>
        <v>2</v>
      </c>
      <c r="H26" s="13" t="str">
        <f>RawData!H23</f>
        <v>-</v>
      </c>
      <c r="I26" s="13">
        <f t="shared" si="0"/>
        <v>0</v>
      </c>
      <c r="J26" s="13">
        <f t="shared" si="1"/>
        <v>3</v>
      </c>
      <c r="K26" s="13">
        <f t="shared" si="2"/>
        <v>0</v>
      </c>
      <c r="L26" s="13">
        <f t="shared" si="3"/>
        <v>0</v>
      </c>
      <c r="M26" s="13">
        <f t="shared" si="4"/>
        <v>0</v>
      </c>
      <c r="N26" s="13">
        <f t="shared" si="5"/>
        <v>3</v>
      </c>
      <c r="O26" s="13" t="str">
        <f t="shared" si="6"/>
        <v>일반</v>
      </c>
      <c r="P26" s="13" t="str">
        <f>RawData!P23</f>
        <v>5cm미만 침하</v>
      </c>
    </row>
    <row r="27" spans="1:16" ht="6.75" customHeight="1">
      <c r="A27" s="18">
        <v>19</v>
      </c>
      <c r="B27" s="18" t="str">
        <f>RawData!B24</f>
        <v>강남대로</v>
      </c>
      <c r="C27" s="18" t="str">
        <f>RIGHT(RawData!$A$2,2)&amp;"-"&amp;RawData!$C$2&amp;"-"&amp;RawData!A24</f>
        <v>25-강남구-19</v>
      </c>
      <c r="D27" s="18" t="str">
        <f>RawData!D24</f>
        <v>양호</v>
      </c>
      <c r="E27" s="18" t="str">
        <f>RawData!E24</f>
        <v>거북등</v>
      </c>
      <c r="F27" s="18" t="str">
        <f>RawData!F24</f>
        <v>양호</v>
      </c>
      <c r="G27" s="18">
        <f>RawData!G24</f>
        <v>2</v>
      </c>
      <c r="H27" s="18" t="str">
        <f>RawData!H24</f>
        <v>-</v>
      </c>
      <c r="I27" s="18">
        <f t="shared" si="0"/>
        <v>0</v>
      </c>
      <c r="J27" s="18">
        <f t="shared" si="1"/>
        <v>3</v>
      </c>
      <c r="K27" s="18">
        <f t="shared" si="2"/>
        <v>0</v>
      </c>
      <c r="L27" s="18">
        <f t="shared" si="3"/>
        <v>0</v>
      </c>
      <c r="M27" s="18">
        <f t="shared" si="4"/>
        <v>0</v>
      </c>
      <c r="N27" s="18">
        <f t="shared" si="5"/>
        <v>3</v>
      </c>
      <c r="O27" s="18" t="str">
        <f t="shared" si="6"/>
        <v>일반</v>
      </c>
      <c r="P27" s="18">
        <f>RawData!P24</f>
        <v>0</v>
      </c>
    </row>
    <row r="28" spans="1:16">
      <c r="A28" s="22">
        <v>20</v>
      </c>
      <c r="B28" s="12" t="str">
        <f>RawData!B25</f>
        <v>강남대로</v>
      </c>
      <c r="C28" s="20" t="str">
        <f>RIGHT(RawData!$A$2,2)&amp;"-"&amp;RawData!$C$2&amp;"-"&amp;RawData!A25</f>
        <v>25-강남구-20</v>
      </c>
      <c r="D28" s="20" t="str">
        <f>RawData!D25</f>
        <v>양호</v>
      </c>
      <c r="E28" s="20" t="str">
        <f>RawData!E25</f>
        <v>종균열</v>
      </c>
      <c r="F28" s="20" t="str">
        <f>RawData!F25</f>
        <v>양호</v>
      </c>
      <c r="G28" s="20">
        <f>RawData!G25</f>
        <v>2</v>
      </c>
      <c r="H28" s="20" t="str">
        <f>RawData!H25</f>
        <v>-</v>
      </c>
      <c r="I28" s="20">
        <f t="shared" si="0"/>
        <v>0</v>
      </c>
      <c r="J28" s="20">
        <f t="shared" si="1"/>
        <v>1</v>
      </c>
      <c r="K28" s="20">
        <f t="shared" si="2"/>
        <v>0</v>
      </c>
      <c r="L28" s="20">
        <f t="shared" si="3"/>
        <v>0</v>
      </c>
      <c r="M28" s="20">
        <f t="shared" si="4"/>
        <v>0</v>
      </c>
      <c r="N28" s="20">
        <f t="shared" si="5"/>
        <v>1</v>
      </c>
      <c r="O28" s="20" t="str">
        <f t="shared" si="6"/>
        <v>일반</v>
      </c>
      <c r="P28" s="20">
        <f>RawData!P25</f>
        <v>0</v>
      </c>
    </row>
    <row r="29" spans="1:16">
      <c r="A29" s="20">
        <v>21</v>
      </c>
      <c r="B29" s="20" t="str">
        <f>RawData!B26</f>
        <v>강남대로</v>
      </c>
      <c r="C29" s="20" t="str">
        <f>RIGHT(RawData!$A$2,2)&amp;"-"&amp;RawData!$C$2&amp;"-"&amp;RawData!A26</f>
        <v>25-강남구-21</v>
      </c>
      <c r="D29" s="20" t="str">
        <f>RawData!D26</f>
        <v>양호</v>
      </c>
      <c r="E29" s="20" t="str">
        <f>RawData!E26</f>
        <v>-</v>
      </c>
      <c r="F29" s="20" t="str">
        <f>RawData!F26</f>
        <v>양호</v>
      </c>
      <c r="G29" s="20">
        <f>RawData!G26</f>
        <v>2</v>
      </c>
      <c r="H29" s="20" t="str">
        <f>RawData!H26</f>
        <v>-</v>
      </c>
      <c r="I29" s="20">
        <f t="shared" si="0"/>
        <v>0</v>
      </c>
      <c r="J29" s="20">
        <f t="shared" si="1"/>
        <v>0</v>
      </c>
      <c r="K29" s="20">
        <f t="shared" si="2"/>
        <v>0</v>
      </c>
      <c r="L29" s="20">
        <f t="shared" si="3"/>
        <v>0</v>
      </c>
      <c r="M29" s="20">
        <f t="shared" si="4"/>
        <v>0</v>
      </c>
      <c r="N29" s="20">
        <f t="shared" si="5"/>
        <v>0</v>
      </c>
      <c r="O29" s="20" t="str">
        <f t="shared" si="6"/>
        <v>일반</v>
      </c>
      <c r="P29" s="20" t="str">
        <f>RawData!P26</f>
        <v>5cm미만 침하</v>
      </c>
    </row>
    <row r="30" spans="1:16">
      <c r="A30" s="20">
        <v>22</v>
      </c>
      <c r="B30" s="20" t="str">
        <f>RawData!B27</f>
        <v>강남대로</v>
      </c>
      <c r="C30" s="20" t="str">
        <f>RIGHT(RawData!$A$2,2)&amp;"-"&amp;RawData!$C$2&amp;"-"&amp;RawData!A27</f>
        <v>25-강남구-22</v>
      </c>
      <c r="D30" s="20" t="str">
        <f>RawData!D27</f>
        <v>양호</v>
      </c>
      <c r="E30" s="20" t="str">
        <f>RawData!E27</f>
        <v>-</v>
      </c>
      <c r="F30" s="20" t="str">
        <f>RawData!F27</f>
        <v>양호</v>
      </c>
      <c r="G30" s="20">
        <f>RawData!G27</f>
        <v>2</v>
      </c>
      <c r="H30" s="20" t="str">
        <f>RawData!H27</f>
        <v>-</v>
      </c>
      <c r="I30" s="20">
        <f t="shared" si="0"/>
        <v>0</v>
      </c>
      <c r="J30" s="20">
        <f t="shared" si="1"/>
        <v>0</v>
      </c>
      <c r="K30" s="20">
        <f t="shared" si="2"/>
        <v>0</v>
      </c>
      <c r="L30" s="20">
        <f t="shared" si="3"/>
        <v>0</v>
      </c>
      <c r="M30" s="20">
        <f t="shared" si="4"/>
        <v>0</v>
      </c>
      <c r="N30" s="20">
        <f t="shared" si="5"/>
        <v>0</v>
      </c>
      <c r="O30" s="20" t="str">
        <f t="shared" si="6"/>
        <v>일반</v>
      </c>
      <c r="P30" s="20" t="str">
        <f>RawData!P27</f>
        <v>5cm미만 침하</v>
      </c>
    </row>
    <row r="31" spans="1:16">
      <c r="A31" s="20">
        <v>23</v>
      </c>
      <c r="B31" s="20" t="str">
        <f>RawData!B28</f>
        <v>강남대로</v>
      </c>
      <c r="C31" s="20" t="str">
        <f>RIGHT(RawData!$A$2,2)&amp;"-"&amp;RawData!$C$2&amp;"-"&amp;RawData!A28</f>
        <v>25-강남구-23</v>
      </c>
      <c r="D31" s="20" t="str">
        <f>RawData!D28</f>
        <v>양호</v>
      </c>
      <c r="E31" s="20" t="str">
        <f>RawData!E28</f>
        <v>거북등</v>
      </c>
      <c r="F31" s="20" t="str">
        <f>RawData!F28</f>
        <v>양호</v>
      </c>
      <c r="G31" s="20">
        <f>RawData!G28</f>
        <v>2</v>
      </c>
      <c r="H31" s="20" t="str">
        <f>RawData!H28</f>
        <v>-</v>
      </c>
      <c r="I31" s="20">
        <f t="shared" si="0"/>
        <v>0</v>
      </c>
      <c r="J31" s="20">
        <f t="shared" si="1"/>
        <v>3</v>
      </c>
      <c r="K31" s="20">
        <f t="shared" si="2"/>
        <v>0</v>
      </c>
      <c r="L31" s="20">
        <f t="shared" si="3"/>
        <v>0</v>
      </c>
      <c r="M31" s="20">
        <f t="shared" si="4"/>
        <v>0</v>
      </c>
      <c r="N31" s="20">
        <f t="shared" si="5"/>
        <v>3</v>
      </c>
      <c r="O31" s="20" t="str">
        <f t="shared" si="6"/>
        <v>일반</v>
      </c>
      <c r="P31" s="20">
        <f>RawData!P28</f>
        <v>0</v>
      </c>
    </row>
    <row r="32" spans="1:16">
      <c r="A32" s="20">
        <v>24</v>
      </c>
      <c r="B32" s="20" t="str">
        <f>RawData!B29</f>
        <v>강남대로</v>
      </c>
      <c r="C32" s="20" t="str">
        <f>RIGHT(RawData!$A$2,2)&amp;"-"&amp;RawData!$C$2&amp;"-"&amp;RawData!A29</f>
        <v>25-강남구-24</v>
      </c>
      <c r="D32" s="20" t="str">
        <f>RawData!D29</f>
        <v>양호</v>
      </c>
      <c r="E32" s="20" t="str">
        <f>RawData!E29</f>
        <v>거북등</v>
      </c>
      <c r="F32" s="20" t="str">
        <f>RawData!F29</f>
        <v>양호</v>
      </c>
      <c r="G32" s="20">
        <f>RawData!G29</f>
        <v>2</v>
      </c>
      <c r="H32" s="20" t="str">
        <f>RawData!H29</f>
        <v>-</v>
      </c>
      <c r="I32" s="20">
        <f t="shared" si="0"/>
        <v>0</v>
      </c>
      <c r="J32" s="20">
        <f t="shared" si="1"/>
        <v>3</v>
      </c>
      <c r="K32" s="20">
        <f t="shared" si="2"/>
        <v>0</v>
      </c>
      <c r="L32" s="20">
        <f t="shared" si="3"/>
        <v>0</v>
      </c>
      <c r="M32" s="20">
        <f t="shared" si="4"/>
        <v>0</v>
      </c>
      <c r="N32" s="20">
        <f t="shared" si="5"/>
        <v>3</v>
      </c>
      <c r="O32" s="20" t="str">
        <f t="shared" si="6"/>
        <v>일반</v>
      </c>
      <c r="P32" s="20">
        <f>RawData!P29</f>
        <v>0</v>
      </c>
    </row>
    <row r="33" spans="1:16">
      <c r="A33" s="20">
        <v>25</v>
      </c>
      <c r="B33" s="20" t="str">
        <f>RawData!B30</f>
        <v>강남대로</v>
      </c>
      <c r="C33" s="20" t="str">
        <f>RIGHT(RawData!$A$2,2)&amp;"-"&amp;RawData!$C$2&amp;"-"&amp;RawData!A30</f>
        <v>25-강남구-25</v>
      </c>
      <c r="D33" s="20" t="str">
        <f>RawData!D30</f>
        <v>양호</v>
      </c>
      <c r="E33" s="20" t="str">
        <f>RawData!E30</f>
        <v>거북등</v>
      </c>
      <c r="F33" s="20" t="str">
        <f>RawData!F30</f>
        <v>양호</v>
      </c>
      <c r="G33" s="20">
        <f>RawData!G30</f>
        <v>2</v>
      </c>
      <c r="H33" s="20" t="str">
        <f>RawData!H30</f>
        <v>-</v>
      </c>
      <c r="I33" s="20">
        <f t="shared" si="0"/>
        <v>0</v>
      </c>
      <c r="J33" s="20">
        <f t="shared" si="1"/>
        <v>3</v>
      </c>
      <c r="K33" s="20">
        <f t="shared" si="2"/>
        <v>0</v>
      </c>
      <c r="L33" s="20">
        <f t="shared" si="3"/>
        <v>0</v>
      </c>
      <c r="M33" s="20">
        <f t="shared" si="4"/>
        <v>0</v>
      </c>
      <c r="N33" s="20">
        <f t="shared" si="5"/>
        <v>3</v>
      </c>
      <c r="O33" s="20" t="str">
        <f t="shared" si="6"/>
        <v>일반</v>
      </c>
      <c r="P33" s="20">
        <f>RawData!P30</f>
        <v>0</v>
      </c>
    </row>
    <row r="34" spans="1:16">
      <c r="A34" s="20">
        <v>26</v>
      </c>
      <c r="B34" s="20" t="str">
        <f>RawData!B31</f>
        <v>강남대로</v>
      </c>
      <c r="C34" s="20" t="str">
        <f>RIGHT(RawData!$A$2,2)&amp;"-"&amp;RawData!$C$2&amp;"-"&amp;RawData!A31</f>
        <v>25-강남구-26</v>
      </c>
      <c r="D34" s="20" t="str">
        <f>RawData!D31</f>
        <v>양호</v>
      </c>
      <c r="E34" s="20" t="str">
        <f>RawData!E31</f>
        <v>거북등</v>
      </c>
      <c r="F34" s="20" t="str">
        <f>RawData!F31</f>
        <v>양호</v>
      </c>
      <c r="G34" s="20">
        <f>RawData!G31</f>
        <v>2</v>
      </c>
      <c r="H34" s="20" t="str">
        <f>RawData!H31</f>
        <v>-</v>
      </c>
      <c r="I34" s="20">
        <f t="shared" si="0"/>
        <v>0</v>
      </c>
      <c r="J34" s="20">
        <f t="shared" si="1"/>
        <v>3</v>
      </c>
      <c r="K34" s="20">
        <f t="shared" si="2"/>
        <v>0</v>
      </c>
      <c r="L34" s="20">
        <f t="shared" si="3"/>
        <v>0</v>
      </c>
      <c r="M34" s="20">
        <f t="shared" si="4"/>
        <v>0</v>
      </c>
      <c r="N34" s="20">
        <f t="shared" si="5"/>
        <v>3</v>
      </c>
      <c r="O34" s="20" t="str">
        <f t="shared" si="6"/>
        <v>일반</v>
      </c>
      <c r="P34" s="20">
        <f>RawData!P31</f>
        <v>0</v>
      </c>
    </row>
    <row r="35" spans="1:16">
      <c r="A35" s="20">
        <v>27</v>
      </c>
      <c r="B35" s="20" t="str">
        <f>RawData!B32</f>
        <v>강남대로</v>
      </c>
      <c r="C35" s="20" t="str">
        <f>RIGHT(RawData!$A$2,2)&amp;"-"&amp;RawData!$C$2&amp;"-"&amp;RawData!A32</f>
        <v>25-강남구-27</v>
      </c>
      <c r="D35" s="20" t="str">
        <f>RawData!D32</f>
        <v>양호</v>
      </c>
      <c r="E35" s="20" t="str">
        <f>RawData!E32</f>
        <v>거북등</v>
      </c>
      <c r="F35" s="20" t="str">
        <f>RawData!F32</f>
        <v>양호</v>
      </c>
      <c r="G35" s="20">
        <f>RawData!G32</f>
        <v>2</v>
      </c>
      <c r="H35" s="20" t="str">
        <f>RawData!H32</f>
        <v>-</v>
      </c>
      <c r="I35" s="20">
        <f t="shared" si="0"/>
        <v>0</v>
      </c>
      <c r="J35" s="20">
        <f t="shared" si="1"/>
        <v>3</v>
      </c>
      <c r="K35" s="20">
        <f t="shared" si="2"/>
        <v>0</v>
      </c>
      <c r="L35" s="20">
        <f t="shared" si="3"/>
        <v>0</v>
      </c>
      <c r="M35" s="20">
        <f t="shared" si="4"/>
        <v>0</v>
      </c>
      <c r="N35" s="20">
        <f t="shared" si="5"/>
        <v>3</v>
      </c>
      <c r="O35" s="20" t="str">
        <f t="shared" si="6"/>
        <v>일반</v>
      </c>
      <c r="P35" s="20">
        <f>RawData!P32</f>
        <v>0</v>
      </c>
    </row>
    <row r="36" spans="1:16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</row>
    <row r="38" spans="1:16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</row>
    <row r="39" spans="1:16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</row>
    <row r="40" spans="1:16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spans="1:16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</row>
    <row r="46" spans="1:16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spans="1:16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 spans="1:16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</sheetData>
  <mergeCells count="20">
    <mergeCell ref="M4:P4"/>
    <mergeCell ref="A5:B5"/>
    <mergeCell ref="C5:D5"/>
    <mergeCell ref="E5:F5"/>
    <mergeCell ref="G5:I5"/>
    <mergeCell ref="J5:L5"/>
    <mergeCell ref="M5:P5"/>
    <mergeCell ref="A4:B4"/>
    <mergeCell ref="C4:D4"/>
    <mergeCell ref="E4:F4"/>
    <mergeCell ref="G4:I4"/>
    <mergeCell ref="J4:L4"/>
    <mergeCell ref="N7:N8"/>
    <mergeCell ref="O7:O8"/>
    <mergeCell ref="P7:P8"/>
    <mergeCell ref="A7:A8"/>
    <mergeCell ref="B7:B8"/>
    <mergeCell ref="C7:C8"/>
    <mergeCell ref="D7:H7"/>
    <mergeCell ref="I7:M7"/>
  </mergeCells>
  <phoneticPr fontId="9" type="noConversion"/>
  <pageMargins left="0.7" right="0.7" top="0.75" bottom="0.75" header="0.511811023622047" footer="0.511811023622047"/>
  <pageSetup paperSize="9" scale="83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view="pageBreakPreview" zoomScaleNormal="100" workbookViewId="0">
      <selection activeCell="G4" sqref="G4"/>
    </sheetView>
  </sheetViews>
  <sheetFormatPr defaultColWidth="10.375" defaultRowHeight="12"/>
  <cols>
    <col min="1" max="16384" width="10.375" style="3"/>
  </cols>
  <sheetData>
    <row r="1" spans="1:12">
      <c r="A1" s="3" t="s">
        <v>0</v>
      </c>
      <c r="B1" s="3" t="s">
        <v>1</v>
      </c>
      <c r="C1" s="3" t="s">
        <v>2</v>
      </c>
      <c r="F1" s="3" t="s">
        <v>24</v>
      </c>
      <c r="G1" s="3" t="s">
        <v>72</v>
      </c>
      <c r="H1" s="3" t="s">
        <v>73</v>
      </c>
      <c r="J1" s="3" t="s">
        <v>74</v>
      </c>
      <c r="K1" s="3" t="s">
        <v>17</v>
      </c>
      <c r="L1" s="3" t="s">
        <v>75</v>
      </c>
    </row>
    <row r="2" spans="1:12">
      <c r="A2" s="3">
        <v>2018</v>
      </c>
      <c r="B2" s="3" t="s">
        <v>3</v>
      </c>
      <c r="C2" s="3" t="s">
        <v>4</v>
      </c>
      <c r="E2" s="3" t="s">
        <v>13</v>
      </c>
      <c r="F2" s="3">
        <v>0</v>
      </c>
      <c r="G2" s="3">
        <v>3</v>
      </c>
      <c r="H2" s="3">
        <v>9</v>
      </c>
      <c r="J2" s="23" t="s">
        <v>76</v>
      </c>
      <c r="K2" s="3" t="s">
        <v>77</v>
      </c>
      <c r="L2" s="23" t="s">
        <v>26</v>
      </c>
    </row>
    <row r="3" spans="1:12">
      <c r="A3" s="3">
        <v>2019</v>
      </c>
      <c r="B3" s="3" t="s">
        <v>78</v>
      </c>
      <c r="C3" s="3" t="s">
        <v>79</v>
      </c>
      <c r="E3" s="3" t="s">
        <v>9</v>
      </c>
      <c r="F3" s="3">
        <v>0</v>
      </c>
      <c r="G3" s="3">
        <v>1</v>
      </c>
      <c r="H3" s="3">
        <v>3</v>
      </c>
      <c r="J3" s="23" t="s">
        <v>80</v>
      </c>
      <c r="K3" s="3" t="s">
        <v>81</v>
      </c>
      <c r="L3" s="3" t="s">
        <v>82</v>
      </c>
    </row>
    <row r="4" spans="1:12">
      <c r="A4" s="3">
        <v>2020</v>
      </c>
      <c r="B4" s="3" t="s">
        <v>83</v>
      </c>
      <c r="C4" s="3" t="s">
        <v>84</v>
      </c>
      <c r="E4" s="3" t="s">
        <v>10</v>
      </c>
      <c r="F4" s="3">
        <v>0</v>
      </c>
      <c r="G4" s="24" t="s">
        <v>85</v>
      </c>
      <c r="H4" s="3">
        <v>9</v>
      </c>
      <c r="J4" s="23" t="s">
        <v>86</v>
      </c>
      <c r="K4" s="3" t="s">
        <v>87</v>
      </c>
      <c r="L4" s="3" t="s">
        <v>82</v>
      </c>
    </row>
    <row r="5" spans="1:12">
      <c r="A5" s="3">
        <v>2021</v>
      </c>
      <c r="C5" s="3" t="s">
        <v>88</v>
      </c>
      <c r="E5" s="3" t="s">
        <v>14</v>
      </c>
      <c r="F5" s="3">
        <v>0</v>
      </c>
      <c r="G5" s="3">
        <v>1</v>
      </c>
      <c r="H5" s="3">
        <v>2</v>
      </c>
    </row>
    <row r="6" spans="1:12">
      <c r="A6" s="3">
        <v>2022</v>
      </c>
      <c r="C6" s="3" t="s">
        <v>89</v>
      </c>
      <c r="E6" s="3" t="s">
        <v>90</v>
      </c>
      <c r="F6" s="3">
        <v>0</v>
      </c>
      <c r="G6" s="3">
        <v>1</v>
      </c>
      <c r="H6" s="3">
        <v>1</v>
      </c>
    </row>
    <row r="7" spans="1:12">
      <c r="A7" s="3">
        <v>2023</v>
      </c>
    </row>
    <row r="8" spans="1:12">
      <c r="A8" s="3">
        <v>2024</v>
      </c>
    </row>
    <row r="9" spans="1:12">
      <c r="A9" s="3">
        <v>2025</v>
      </c>
    </row>
  </sheetData>
  <phoneticPr fontId="9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RawData</vt:lpstr>
      <vt:lpstr>V1</vt:lpstr>
      <vt:lpstr>V2</vt:lpstr>
      <vt:lpstr>범례</vt:lpstr>
      <vt:lpstr>RawData!Print_Area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0</cp:revision>
  <cp:lastPrinted>2026-03-16T02:30:46Z</cp:lastPrinted>
  <dcterms:created xsi:type="dcterms:W3CDTF">2026-03-16T00:57:17Z</dcterms:created>
  <dcterms:modified xsi:type="dcterms:W3CDTF">2026-03-19T02:18:47Z</dcterms:modified>
  <dc:language>en-US</dc:language>
</cp:coreProperties>
</file>