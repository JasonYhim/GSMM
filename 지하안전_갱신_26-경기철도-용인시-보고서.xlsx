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05 내 문서 모음\01. 업무관련 문서양식\017 지하안전점검(지하안전법) 관련\■ 연도별 지하안전점검(육안점검) 결과보고서\2026년 지하안전점검 보고서\"/>
    </mc:Choice>
  </mc:AlternateContent>
  <xr:revisionPtr revIDLastSave="0" documentId="13_ncr:1_{8E805F51-8B00-45E6-A0BA-FDFE325E38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Data" sheetId="1" r:id="rId1"/>
    <sheet name="V2" sheetId="2" r:id="rId2"/>
  </sheets>
  <externalReferences>
    <externalReference r:id="rId3"/>
  </externalReferences>
  <definedNames>
    <definedName name="_xlnm.Print_Area" localSheetId="1">'V2'!$A$1:$P$80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2" l="1"/>
  <c r="A34" i="2"/>
  <c r="B34" i="2"/>
  <c r="C34" i="2"/>
  <c r="D34" i="2"/>
  <c r="E34" i="2"/>
  <c r="F34" i="2"/>
  <c r="G34" i="2"/>
  <c r="L34" i="2" s="1"/>
  <c r="H34" i="2"/>
  <c r="M34" i="2" s="1"/>
  <c r="I34" i="2"/>
  <c r="J34" i="2"/>
  <c r="K34" i="2"/>
  <c r="P34" i="2"/>
  <c r="A35" i="2"/>
  <c r="B35" i="2"/>
  <c r="C35" i="2"/>
  <c r="D35" i="2"/>
  <c r="I35" i="2" s="1"/>
  <c r="E35" i="2"/>
  <c r="J35" i="2" s="1"/>
  <c r="F35" i="2"/>
  <c r="K35" i="2" s="1"/>
  <c r="G35" i="2"/>
  <c r="L35" i="2" s="1"/>
  <c r="H35" i="2"/>
  <c r="M35" i="2"/>
  <c r="N35" i="2"/>
  <c r="O35" i="2" s="1"/>
  <c r="P35" i="2"/>
  <c r="A36" i="2"/>
  <c r="B36" i="2"/>
  <c r="C36" i="2"/>
  <c r="D36" i="2"/>
  <c r="E36" i="2"/>
  <c r="F36" i="2"/>
  <c r="K36" i="2" s="1"/>
  <c r="G36" i="2"/>
  <c r="L36" i="2" s="1"/>
  <c r="H36" i="2"/>
  <c r="M36" i="2" s="1"/>
  <c r="I36" i="2"/>
  <c r="J36" i="2"/>
  <c r="P36" i="2"/>
  <c r="A37" i="2"/>
  <c r="B37" i="2"/>
  <c r="C37" i="2"/>
  <c r="D37" i="2"/>
  <c r="E37" i="2"/>
  <c r="J37" i="2" s="1"/>
  <c r="F37" i="2"/>
  <c r="K37" i="2" s="1"/>
  <c r="G37" i="2"/>
  <c r="L37" i="2" s="1"/>
  <c r="H37" i="2"/>
  <c r="M37" i="2" s="1"/>
  <c r="I37" i="2"/>
  <c r="P37" i="2"/>
  <c r="A38" i="2"/>
  <c r="B38" i="2"/>
  <c r="C38" i="2"/>
  <c r="D38" i="2"/>
  <c r="I38" i="2" s="1"/>
  <c r="E38" i="2"/>
  <c r="J38" i="2" s="1"/>
  <c r="F38" i="2"/>
  <c r="K38" i="2" s="1"/>
  <c r="G38" i="2"/>
  <c r="L38" i="2" s="1"/>
  <c r="H38" i="2"/>
  <c r="M38" i="2"/>
  <c r="P38" i="2"/>
  <c r="A39" i="2"/>
  <c r="B39" i="2"/>
  <c r="C39" i="2"/>
  <c r="D39" i="2"/>
  <c r="I39" i="2" s="1"/>
  <c r="E39" i="2"/>
  <c r="J39" i="2" s="1"/>
  <c r="F39" i="2"/>
  <c r="K39" i="2" s="1"/>
  <c r="G39" i="2"/>
  <c r="H39" i="2"/>
  <c r="L39" i="2"/>
  <c r="M39" i="2"/>
  <c r="P39" i="2"/>
  <c r="A40" i="2"/>
  <c r="B40" i="2"/>
  <c r="C40" i="2"/>
  <c r="D40" i="2"/>
  <c r="E40" i="2"/>
  <c r="F40" i="2"/>
  <c r="G40" i="2"/>
  <c r="H40" i="2"/>
  <c r="M40" i="2" s="1"/>
  <c r="I40" i="2"/>
  <c r="J40" i="2"/>
  <c r="K40" i="2"/>
  <c r="L40" i="2"/>
  <c r="P40" i="2"/>
  <c r="A41" i="2"/>
  <c r="B41" i="2"/>
  <c r="C41" i="2"/>
  <c r="D41" i="2"/>
  <c r="I41" i="2" s="1"/>
  <c r="E41" i="2"/>
  <c r="J41" i="2" s="1"/>
  <c r="F41" i="2"/>
  <c r="K41" i="2" s="1"/>
  <c r="G41" i="2"/>
  <c r="L41" i="2" s="1"/>
  <c r="H41" i="2"/>
  <c r="M41" i="2"/>
  <c r="N41" i="2"/>
  <c r="O41" i="2"/>
  <c r="P41" i="2"/>
  <c r="A42" i="2"/>
  <c r="B42" i="2"/>
  <c r="C42" i="2"/>
  <c r="D42" i="2"/>
  <c r="E42" i="2"/>
  <c r="F42" i="2"/>
  <c r="G42" i="2"/>
  <c r="L42" i="2" s="1"/>
  <c r="H42" i="2"/>
  <c r="M42" i="2" s="1"/>
  <c r="I42" i="2"/>
  <c r="J42" i="2"/>
  <c r="K42" i="2"/>
  <c r="P42" i="2"/>
  <c r="A43" i="2"/>
  <c r="B43" i="2"/>
  <c r="C43" i="2"/>
  <c r="D43" i="2"/>
  <c r="E43" i="2"/>
  <c r="J43" i="2" s="1"/>
  <c r="F43" i="2"/>
  <c r="K43" i="2" s="1"/>
  <c r="G43" i="2"/>
  <c r="L43" i="2" s="1"/>
  <c r="H43" i="2"/>
  <c r="M43" i="2" s="1"/>
  <c r="I43" i="2"/>
  <c r="P43" i="2"/>
  <c r="A44" i="2"/>
  <c r="B44" i="2"/>
  <c r="C44" i="2"/>
  <c r="D44" i="2"/>
  <c r="I44" i="2" s="1"/>
  <c r="E44" i="2"/>
  <c r="J44" i="2" s="1"/>
  <c r="F44" i="2"/>
  <c r="K44" i="2" s="1"/>
  <c r="G44" i="2"/>
  <c r="L44" i="2" s="1"/>
  <c r="H44" i="2"/>
  <c r="M44" i="2" s="1"/>
  <c r="P44" i="2"/>
  <c r="A45" i="2"/>
  <c r="B45" i="2"/>
  <c r="C45" i="2"/>
  <c r="D45" i="2"/>
  <c r="I45" i="2" s="1"/>
  <c r="E45" i="2"/>
  <c r="J45" i="2" s="1"/>
  <c r="F45" i="2"/>
  <c r="G45" i="2"/>
  <c r="H45" i="2"/>
  <c r="M45" i="2" s="1"/>
  <c r="K45" i="2"/>
  <c r="L45" i="2"/>
  <c r="P45" i="2"/>
  <c r="A46" i="2"/>
  <c r="B46" i="2"/>
  <c r="C46" i="2"/>
  <c r="D46" i="2"/>
  <c r="I46" i="2" s="1"/>
  <c r="E46" i="2"/>
  <c r="F46" i="2"/>
  <c r="K46" i="2" s="1"/>
  <c r="G46" i="2"/>
  <c r="H46" i="2"/>
  <c r="M46" i="2" s="1"/>
  <c r="J46" i="2"/>
  <c r="L46" i="2"/>
  <c r="P46" i="2"/>
  <c r="A47" i="2"/>
  <c r="B47" i="2"/>
  <c r="C47" i="2"/>
  <c r="D47" i="2"/>
  <c r="I47" i="2" s="1"/>
  <c r="E47" i="2"/>
  <c r="J47" i="2" s="1"/>
  <c r="F47" i="2"/>
  <c r="K47" i="2" s="1"/>
  <c r="G47" i="2"/>
  <c r="L47" i="2" s="1"/>
  <c r="H47" i="2"/>
  <c r="M47" i="2" s="1"/>
  <c r="N47" i="2" s="1"/>
  <c r="O47" i="2" s="1"/>
  <c r="P47" i="2"/>
  <c r="A48" i="2"/>
  <c r="B48" i="2"/>
  <c r="C48" i="2"/>
  <c r="D48" i="2"/>
  <c r="I48" i="2" s="1"/>
  <c r="E48" i="2"/>
  <c r="J48" i="2" s="1"/>
  <c r="F48" i="2"/>
  <c r="K48" i="2" s="1"/>
  <c r="G48" i="2"/>
  <c r="H48" i="2"/>
  <c r="L48" i="2"/>
  <c r="M48" i="2"/>
  <c r="P48" i="2"/>
  <c r="A49" i="2"/>
  <c r="B49" i="2"/>
  <c r="C49" i="2"/>
  <c r="D49" i="2"/>
  <c r="E49" i="2"/>
  <c r="F49" i="2"/>
  <c r="G49" i="2"/>
  <c r="L49" i="2" s="1"/>
  <c r="H49" i="2"/>
  <c r="M49" i="2" s="1"/>
  <c r="I49" i="2"/>
  <c r="J49" i="2"/>
  <c r="K49" i="2"/>
  <c r="P49" i="2"/>
  <c r="A50" i="2"/>
  <c r="B50" i="2"/>
  <c r="C50" i="2"/>
  <c r="D50" i="2"/>
  <c r="I50" i="2" s="1"/>
  <c r="E50" i="2"/>
  <c r="J50" i="2" s="1"/>
  <c r="F50" i="2"/>
  <c r="K50" i="2" s="1"/>
  <c r="G50" i="2"/>
  <c r="L50" i="2" s="1"/>
  <c r="H50" i="2"/>
  <c r="M50" i="2" s="1"/>
  <c r="P50" i="2"/>
  <c r="A51" i="2"/>
  <c r="B51" i="2"/>
  <c r="C51" i="2"/>
  <c r="D51" i="2"/>
  <c r="E51" i="2"/>
  <c r="J51" i="2" s="1"/>
  <c r="F51" i="2"/>
  <c r="G51" i="2"/>
  <c r="H51" i="2"/>
  <c r="M51" i="2" s="1"/>
  <c r="I51" i="2"/>
  <c r="K51" i="2"/>
  <c r="L51" i="2"/>
  <c r="P51" i="2"/>
  <c r="A52" i="2"/>
  <c r="B52" i="2"/>
  <c r="C52" i="2"/>
  <c r="D52" i="2"/>
  <c r="I52" i="2" s="1"/>
  <c r="E52" i="2"/>
  <c r="J52" i="2" s="1"/>
  <c r="F52" i="2"/>
  <c r="K52" i="2" s="1"/>
  <c r="G52" i="2"/>
  <c r="L52" i="2" s="1"/>
  <c r="H52" i="2"/>
  <c r="M52" i="2" s="1"/>
  <c r="P52" i="2"/>
  <c r="A53" i="2"/>
  <c r="B53" i="2"/>
  <c r="C53" i="2"/>
  <c r="D53" i="2"/>
  <c r="I53" i="2" s="1"/>
  <c r="E53" i="2"/>
  <c r="J53" i="2" s="1"/>
  <c r="F53" i="2"/>
  <c r="K53" i="2" s="1"/>
  <c r="G53" i="2"/>
  <c r="L53" i="2" s="1"/>
  <c r="H53" i="2"/>
  <c r="M53" i="2" s="1"/>
  <c r="P53" i="2"/>
  <c r="A54" i="2"/>
  <c r="B54" i="2"/>
  <c r="C54" i="2"/>
  <c r="D54" i="2"/>
  <c r="I54" i="2" s="1"/>
  <c r="E54" i="2"/>
  <c r="J54" i="2" s="1"/>
  <c r="F54" i="2"/>
  <c r="K54" i="2" s="1"/>
  <c r="G54" i="2"/>
  <c r="H54" i="2"/>
  <c r="L54" i="2"/>
  <c r="M54" i="2"/>
  <c r="P54" i="2"/>
  <c r="A55" i="2"/>
  <c r="B55" i="2"/>
  <c r="C55" i="2"/>
  <c r="D55" i="2"/>
  <c r="I55" i="2" s="1"/>
  <c r="E55" i="2"/>
  <c r="J55" i="2" s="1"/>
  <c r="F55" i="2"/>
  <c r="G55" i="2"/>
  <c r="H55" i="2"/>
  <c r="M55" i="2" s="1"/>
  <c r="K55" i="2"/>
  <c r="L55" i="2"/>
  <c r="P55" i="2"/>
  <c r="A56" i="2"/>
  <c r="B56" i="2"/>
  <c r="C56" i="2"/>
  <c r="D56" i="2"/>
  <c r="I56" i="2" s="1"/>
  <c r="N56" i="2" s="1"/>
  <c r="O56" i="2" s="1"/>
  <c r="E56" i="2"/>
  <c r="J56" i="2" s="1"/>
  <c r="F56" i="2"/>
  <c r="K56" i="2" s="1"/>
  <c r="G56" i="2"/>
  <c r="L56" i="2" s="1"/>
  <c r="H56" i="2"/>
  <c r="M56" i="2"/>
  <c r="P56" i="2"/>
  <c r="A57" i="2"/>
  <c r="B57" i="2"/>
  <c r="C57" i="2"/>
  <c r="D57" i="2"/>
  <c r="I57" i="2" s="1"/>
  <c r="E57" i="2"/>
  <c r="F57" i="2"/>
  <c r="K57" i="2" s="1"/>
  <c r="G57" i="2"/>
  <c r="H57" i="2"/>
  <c r="M57" i="2" s="1"/>
  <c r="J57" i="2"/>
  <c r="L57" i="2"/>
  <c r="P57" i="2"/>
  <c r="A58" i="2"/>
  <c r="B58" i="2"/>
  <c r="C58" i="2"/>
  <c r="D58" i="2"/>
  <c r="E58" i="2"/>
  <c r="J58" i="2" s="1"/>
  <c r="F58" i="2"/>
  <c r="K58" i="2" s="1"/>
  <c r="G58" i="2"/>
  <c r="L58" i="2" s="1"/>
  <c r="H58" i="2"/>
  <c r="M58" i="2" s="1"/>
  <c r="I58" i="2"/>
  <c r="P58" i="2"/>
  <c r="A59" i="2"/>
  <c r="B59" i="2"/>
  <c r="C59" i="2"/>
  <c r="D59" i="2"/>
  <c r="I59" i="2" s="1"/>
  <c r="E59" i="2"/>
  <c r="J59" i="2" s="1"/>
  <c r="F59" i="2"/>
  <c r="K59" i="2" s="1"/>
  <c r="G59" i="2"/>
  <c r="L59" i="2" s="1"/>
  <c r="H59" i="2"/>
  <c r="M59" i="2" s="1"/>
  <c r="P59" i="2"/>
  <c r="A60" i="2"/>
  <c r="B60" i="2"/>
  <c r="C60" i="2"/>
  <c r="D60" i="2"/>
  <c r="I60" i="2" s="1"/>
  <c r="E60" i="2"/>
  <c r="J60" i="2" s="1"/>
  <c r="F60" i="2"/>
  <c r="K60" i="2" s="1"/>
  <c r="G60" i="2"/>
  <c r="L60" i="2" s="1"/>
  <c r="H60" i="2"/>
  <c r="M60" i="2" s="1"/>
  <c r="P60" i="2"/>
  <c r="A61" i="2"/>
  <c r="B61" i="2"/>
  <c r="C61" i="2"/>
  <c r="D61" i="2"/>
  <c r="I61" i="2" s="1"/>
  <c r="E61" i="2"/>
  <c r="J61" i="2" s="1"/>
  <c r="F61" i="2"/>
  <c r="K61" i="2" s="1"/>
  <c r="G61" i="2"/>
  <c r="L61" i="2" s="1"/>
  <c r="H61" i="2"/>
  <c r="M61" i="2" s="1"/>
  <c r="P61" i="2"/>
  <c r="A62" i="2"/>
  <c r="B62" i="2"/>
  <c r="C62" i="2"/>
  <c r="D62" i="2"/>
  <c r="I62" i="2" s="1"/>
  <c r="N62" i="2" s="1"/>
  <c r="O62" i="2" s="1"/>
  <c r="E62" i="2"/>
  <c r="J62" i="2" s="1"/>
  <c r="F62" i="2"/>
  <c r="K62" i="2" s="1"/>
  <c r="G62" i="2"/>
  <c r="L62" i="2" s="1"/>
  <c r="H62" i="2"/>
  <c r="M62" i="2"/>
  <c r="P62" i="2"/>
  <c r="A63" i="2"/>
  <c r="B63" i="2"/>
  <c r="C63" i="2"/>
  <c r="D63" i="2"/>
  <c r="I63" i="2" s="1"/>
  <c r="E63" i="2"/>
  <c r="J63" i="2" s="1"/>
  <c r="F63" i="2"/>
  <c r="K63" i="2" s="1"/>
  <c r="G63" i="2"/>
  <c r="H63" i="2"/>
  <c r="M63" i="2" s="1"/>
  <c r="L63" i="2"/>
  <c r="P63" i="2"/>
  <c r="A64" i="2"/>
  <c r="B64" i="2"/>
  <c r="C64" i="2"/>
  <c r="D64" i="2"/>
  <c r="I64" i="2" s="1"/>
  <c r="E64" i="2"/>
  <c r="F64" i="2"/>
  <c r="K64" i="2" s="1"/>
  <c r="G64" i="2"/>
  <c r="L64" i="2" s="1"/>
  <c r="H64" i="2"/>
  <c r="M64" i="2" s="1"/>
  <c r="J64" i="2"/>
  <c r="P64" i="2"/>
  <c r="A65" i="2"/>
  <c r="B65" i="2"/>
  <c r="C65" i="2"/>
  <c r="D65" i="2"/>
  <c r="I65" i="2" s="1"/>
  <c r="E65" i="2"/>
  <c r="J65" i="2" s="1"/>
  <c r="F65" i="2"/>
  <c r="K65" i="2" s="1"/>
  <c r="G65" i="2"/>
  <c r="L65" i="2" s="1"/>
  <c r="H65" i="2"/>
  <c r="M65" i="2"/>
  <c r="P65" i="2"/>
  <c r="A66" i="2"/>
  <c r="B66" i="2"/>
  <c r="C66" i="2"/>
  <c r="D66" i="2"/>
  <c r="I66" i="2" s="1"/>
  <c r="E66" i="2"/>
  <c r="J66" i="2" s="1"/>
  <c r="F66" i="2"/>
  <c r="K66" i="2" s="1"/>
  <c r="G66" i="2"/>
  <c r="L66" i="2" s="1"/>
  <c r="H66" i="2"/>
  <c r="M66" i="2"/>
  <c r="P66" i="2"/>
  <c r="A67" i="2"/>
  <c r="B67" i="2"/>
  <c r="C67" i="2"/>
  <c r="D67" i="2"/>
  <c r="I67" i="2" s="1"/>
  <c r="E67" i="2"/>
  <c r="J67" i="2" s="1"/>
  <c r="F67" i="2"/>
  <c r="G67" i="2"/>
  <c r="H67" i="2"/>
  <c r="M67" i="2" s="1"/>
  <c r="K67" i="2"/>
  <c r="L67" i="2"/>
  <c r="P67" i="2"/>
  <c r="A68" i="2"/>
  <c r="B68" i="2"/>
  <c r="C68" i="2"/>
  <c r="D68" i="2"/>
  <c r="I68" i="2" s="1"/>
  <c r="E68" i="2"/>
  <c r="J68" i="2" s="1"/>
  <c r="F68" i="2"/>
  <c r="K68" i="2" s="1"/>
  <c r="G68" i="2"/>
  <c r="L68" i="2" s="1"/>
  <c r="H68" i="2"/>
  <c r="M68" i="2"/>
  <c r="P68" i="2"/>
  <c r="A69" i="2"/>
  <c r="B69" i="2"/>
  <c r="C69" i="2"/>
  <c r="D69" i="2"/>
  <c r="I69" i="2" s="1"/>
  <c r="E69" i="2"/>
  <c r="J69" i="2" s="1"/>
  <c r="F69" i="2"/>
  <c r="K69" i="2" s="1"/>
  <c r="G69" i="2"/>
  <c r="L69" i="2" s="1"/>
  <c r="H69" i="2"/>
  <c r="M69" i="2"/>
  <c r="P69" i="2"/>
  <c r="A70" i="2"/>
  <c r="B70" i="2"/>
  <c r="C70" i="2"/>
  <c r="D70" i="2"/>
  <c r="I70" i="2" s="1"/>
  <c r="E70" i="2"/>
  <c r="J70" i="2" s="1"/>
  <c r="F70" i="2"/>
  <c r="K70" i="2" s="1"/>
  <c r="G70" i="2"/>
  <c r="H70" i="2"/>
  <c r="M70" i="2" s="1"/>
  <c r="L70" i="2"/>
  <c r="P70" i="2"/>
  <c r="A71" i="2"/>
  <c r="B71" i="2"/>
  <c r="C71" i="2"/>
  <c r="D71" i="2"/>
  <c r="I71" i="2" s="1"/>
  <c r="N71" i="2" s="1"/>
  <c r="O71" i="2" s="1"/>
  <c r="E71" i="2"/>
  <c r="J71" i="2" s="1"/>
  <c r="F71" i="2"/>
  <c r="K71" i="2" s="1"/>
  <c r="G71" i="2"/>
  <c r="L71" i="2" s="1"/>
  <c r="H71" i="2"/>
  <c r="M71" i="2"/>
  <c r="P71" i="2"/>
  <c r="A72" i="2"/>
  <c r="B72" i="2"/>
  <c r="C72" i="2"/>
  <c r="D72" i="2"/>
  <c r="I72" i="2" s="1"/>
  <c r="E72" i="2"/>
  <c r="J72" i="2" s="1"/>
  <c r="F72" i="2"/>
  <c r="G72" i="2"/>
  <c r="L72" i="2" s="1"/>
  <c r="H72" i="2"/>
  <c r="M72" i="2" s="1"/>
  <c r="K72" i="2"/>
  <c r="P72" i="2"/>
  <c r="A73" i="2"/>
  <c r="B73" i="2"/>
  <c r="C73" i="2"/>
  <c r="D73" i="2"/>
  <c r="I73" i="2" s="1"/>
  <c r="E73" i="2"/>
  <c r="J73" i="2" s="1"/>
  <c r="F73" i="2"/>
  <c r="K73" i="2" s="1"/>
  <c r="G73" i="2"/>
  <c r="L73" i="2" s="1"/>
  <c r="H73" i="2"/>
  <c r="M73" i="2" s="1"/>
  <c r="P73" i="2"/>
  <c r="A74" i="2"/>
  <c r="B74" i="2"/>
  <c r="C74" i="2"/>
  <c r="D74" i="2"/>
  <c r="I74" i="2" s="1"/>
  <c r="E74" i="2"/>
  <c r="J74" i="2" s="1"/>
  <c r="F74" i="2"/>
  <c r="K74" i="2" s="1"/>
  <c r="G74" i="2"/>
  <c r="L74" i="2" s="1"/>
  <c r="H74" i="2"/>
  <c r="M74" i="2" s="1"/>
  <c r="P74" i="2"/>
  <c r="A75" i="2"/>
  <c r="B75" i="2"/>
  <c r="C75" i="2"/>
  <c r="D75" i="2"/>
  <c r="I75" i="2" s="1"/>
  <c r="E75" i="2"/>
  <c r="F75" i="2"/>
  <c r="K75" i="2" s="1"/>
  <c r="G75" i="2"/>
  <c r="L75" i="2" s="1"/>
  <c r="H75" i="2"/>
  <c r="M75" i="2" s="1"/>
  <c r="J75" i="2"/>
  <c r="P75" i="2"/>
  <c r="A76" i="2"/>
  <c r="B76" i="2"/>
  <c r="C76" i="2"/>
  <c r="D76" i="2"/>
  <c r="I76" i="2" s="1"/>
  <c r="E76" i="2"/>
  <c r="J76" i="2" s="1"/>
  <c r="F76" i="2"/>
  <c r="K76" i="2" s="1"/>
  <c r="G76" i="2"/>
  <c r="L76" i="2" s="1"/>
  <c r="H76" i="2"/>
  <c r="M76" i="2" s="1"/>
  <c r="P76" i="2"/>
  <c r="A77" i="2"/>
  <c r="B77" i="2"/>
  <c r="C77" i="2"/>
  <c r="D77" i="2"/>
  <c r="I77" i="2" s="1"/>
  <c r="E77" i="2"/>
  <c r="J77" i="2" s="1"/>
  <c r="F77" i="2"/>
  <c r="K77" i="2" s="1"/>
  <c r="G77" i="2"/>
  <c r="L77" i="2" s="1"/>
  <c r="H77" i="2"/>
  <c r="M77" i="2" s="1"/>
  <c r="P77" i="2"/>
  <c r="A78" i="2"/>
  <c r="B78" i="2"/>
  <c r="C78" i="2"/>
  <c r="D78" i="2"/>
  <c r="I78" i="2" s="1"/>
  <c r="E78" i="2"/>
  <c r="J78" i="2" s="1"/>
  <c r="F78" i="2"/>
  <c r="K78" i="2" s="1"/>
  <c r="G78" i="2"/>
  <c r="L78" i="2" s="1"/>
  <c r="H78" i="2"/>
  <c r="M78" i="2" s="1"/>
  <c r="P78" i="2"/>
  <c r="A79" i="2"/>
  <c r="B79" i="2"/>
  <c r="C79" i="2"/>
  <c r="D79" i="2"/>
  <c r="I79" i="2" s="1"/>
  <c r="E79" i="2"/>
  <c r="J79" i="2" s="1"/>
  <c r="F79" i="2"/>
  <c r="K79" i="2" s="1"/>
  <c r="G79" i="2"/>
  <c r="L79" i="2" s="1"/>
  <c r="H79" i="2"/>
  <c r="M79" i="2" s="1"/>
  <c r="P79" i="2"/>
  <c r="A80" i="2"/>
  <c r="B80" i="2"/>
  <c r="C80" i="2"/>
  <c r="D80" i="2"/>
  <c r="I80" i="2" s="1"/>
  <c r="E80" i="2"/>
  <c r="J80" i="2" s="1"/>
  <c r="F80" i="2"/>
  <c r="K80" i="2" s="1"/>
  <c r="G80" i="2"/>
  <c r="L80" i="2" s="1"/>
  <c r="H80" i="2"/>
  <c r="M80" i="2" s="1"/>
  <c r="P80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9" i="2"/>
  <c r="C10" i="2"/>
  <c r="D10" i="2"/>
  <c r="I10" i="2" s="1"/>
  <c r="E10" i="2"/>
  <c r="F10" i="2"/>
  <c r="K10" i="2" s="1"/>
  <c r="G10" i="2"/>
  <c r="L10" i="2" s="1"/>
  <c r="H10" i="2"/>
  <c r="M10" i="2" s="1"/>
  <c r="C11" i="2"/>
  <c r="D11" i="2"/>
  <c r="I11" i="2" s="1"/>
  <c r="E11" i="2"/>
  <c r="J11" i="2" s="1"/>
  <c r="F11" i="2"/>
  <c r="K11" i="2" s="1"/>
  <c r="G11" i="2"/>
  <c r="L11" i="2" s="1"/>
  <c r="H11" i="2"/>
  <c r="M11" i="2" s="1"/>
  <c r="C12" i="2"/>
  <c r="D12" i="2"/>
  <c r="I12" i="2" s="1"/>
  <c r="E12" i="2"/>
  <c r="F12" i="2"/>
  <c r="K12" i="2" s="1"/>
  <c r="G12" i="2"/>
  <c r="L12" i="2" s="1"/>
  <c r="H12" i="2"/>
  <c r="M12" i="2" s="1"/>
  <c r="C13" i="2"/>
  <c r="D13" i="2"/>
  <c r="I13" i="2" s="1"/>
  <c r="E13" i="2"/>
  <c r="J13" i="2" s="1"/>
  <c r="F13" i="2"/>
  <c r="K13" i="2" s="1"/>
  <c r="G13" i="2"/>
  <c r="L13" i="2" s="1"/>
  <c r="H13" i="2"/>
  <c r="M13" i="2" s="1"/>
  <c r="C14" i="2"/>
  <c r="D14" i="2"/>
  <c r="I14" i="2" s="1"/>
  <c r="E14" i="2"/>
  <c r="J14" i="2" s="1"/>
  <c r="F14" i="2"/>
  <c r="G14" i="2"/>
  <c r="H14" i="2"/>
  <c r="M14" i="2" s="1"/>
  <c r="C15" i="2"/>
  <c r="D15" i="2"/>
  <c r="E15" i="2"/>
  <c r="J15" i="2" s="1"/>
  <c r="F15" i="2"/>
  <c r="K15" i="2" s="1"/>
  <c r="G15" i="2"/>
  <c r="L15" i="2" s="1"/>
  <c r="H15" i="2"/>
  <c r="M15" i="2" s="1"/>
  <c r="C16" i="2"/>
  <c r="D16" i="2"/>
  <c r="I16" i="2" s="1"/>
  <c r="E16" i="2"/>
  <c r="F16" i="2"/>
  <c r="K16" i="2" s="1"/>
  <c r="G16" i="2"/>
  <c r="L16" i="2" s="1"/>
  <c r="H16" i="2"/>
  <c r="M16" i="2" s="1"/>
  <c r="C17" i="2"/>
  <c r="D17" i="2"/>
  <c r="I17" i="2" s="1"/>
  <c r="E17" i="2"/>
  <c r="J17" i="2" s="1"/>
  <c r="F17" i="2"/>
  <c r="K17" i="2" s="1"/>
  <c r="G17" i="2"/>
  <c r="L17" i="2" s="1"/>
  <c r="H17" i="2"/>
  <c r="M17" i="2" s="1"/>
  <c r="C18" i="2"/>
  <c r="D18" i="2"/>
  <c r="E18" i="2"/>
  <c r="J18" i="2" s="1"/>
  <c r="F18" i="2"/>
  <c r="K18" i="2" s="1"/>
  <c r="G18" i="2"/>
  <c r="L18" i="2" s="1"/>
  <c r="H18" i="2"/>
  <c r="M18" i="2" s="1"/>
  <c r="C19" i="2"/>
  <c r="D19" i="2"/>
  <c r="I19" i="2" s="1"/>
  <c r="E19" i="2"/>
  <c r="J19" i="2" s="1"/>
  <c r="F19" i="2"/>
  <c r="K19" i="2" s="1"/>
  <c r="G19" i="2"/>
  <c r="L19" i="2" s="1"/>
  <c r="H19" i="2"/>
  <c r="M19" i="2" s="1"/>
  <c r="C20" i="2"/>
  <c r="D20" i="2"/>
  <c r="I20" i="2" s="1"/>
  <c r="E20" i="2"/>
  <c r="F20" i="2"/>
  <c r="G20" i="2"/>
  <c r="L20" i="2" s="1"/>
  <c r="H20" i="2"/>
  <c r="M20" i="2" s="1"/>
  <c r="C21" i="2"/>
  <c r="D21" i="2"/>
  <c r="I21" i="2" s="1"/>
  <c r="E21" i="2"/>
  <c r="J21" i="2" s="1"/>
  <c r="F21" i="2"/>
  <c r="K21" i="2" s="1"/>
  <c r="G21" i="2"/>
  <c r="L21" i="2" s="1"/>
  <c r="H21" i="2"/>
  <c r="M21" i="2" s="1"/>
  <c r="C22" i="2"/>
  <c r="D22" i="2"/>
  <c r="I22" i="2" s="1"/>
  <c r="E22" i="2"/>
  <c r="J22" i="2" s="1"/>
  <c r="F22" i="2"/>
  <c r="K22" i="2" s="1"/>
  <c r="G22" i="2"/>
  <c r="L22" i="2" s="1"/>
  <c r="H22" i="2"/>
  <c r="M22" i="2" s="1"/>
  <c r="C23" i="2"/>
  <c r="D23" i="2"/>
  <c r="I23" i="2" s="1"/>
  <c r="E23" i="2"/>
  <c r="J23" i="2" s="1"/>
  <c r="F23" i="2"/>
  <c r="K23" i="2" s="1"/>
  <c r="G23" i="2"/>
  <c r="L23" i="2" s="1"/>
  <c r="H23" i="2"/>
  <c r="M23" i="2" s="1"/>
  <c r="C24" i="2"/>
  <c r="D24" i="2"/>
  <c r="I24" i="2" s="1"/>
  <c r="N24" i="2" s="1"/>
  <c r="O24" i="2" s="1"/>
  <c r="E24" i="2"/>
  <c r="F24" i="2"/>
  <c r="G24" i="2"/>
  <c r="H24" i="2"/>
  <c r="C25" i="2"/>
  <c r="D25" i="2"/>
  <c r="I25" i="2" s="1"/>
  <c r="E25" i="2"/>
  <c r="J25" i="2" s="1"/>
  <c r="F25" i="2"/>
  <c r="K25" i="2" s="1"/>
  <c r="G25" i="2"/>
  <c r="L25" i="2" s="1"/>
  <c r="H25" i="2"/>
  <c r="M25" i="2" s="1"/>
  <c r="C26" i="2"/>
  <c r="D26" i="2"/>
  <c r="I26" i="2" s="1"/>
  <c r="E26" i="2"/>
  <c r="F26" i="2"/>
  <c r="K26" i="2" s="1"/>
  <c r="G26" i="2"/>
  <c r="H26" i="2"/>
  <c r="M26" i="2" s="1"/>
  <c r="C27" i="2"/>
  <c r="D27" i="2"/>
  <c r="I27" i="2" s="1"/>
  <c r="E27" i="2"/>
  <c r="J27" i="2" s="1"/>
  <c r="F27" i="2"/>
  <c r="G27" i="2"/>
  <c r="L27" i="2" s="1"/>
  <c r="H27" i="2"/>
  <c r="M27" i="2" s="1"/>
  <c r="C28" i="2"/>
  <c r="D28" i="2"/>
  <c r="E28" i="2"/>
  <c r="F28" i="2"/>
  <c r="K28" i="2" s="1"/>
  <c r="G28" i="2"/>
  <c r="L28" i="2" s="1"/>
  <c r="H28" i="2"/>
  <c r="M28" i="2" s="1"/>
  <c r="C29" i="2"/>
  <c r="D29" i="2"/>
  <c r="I29" i="2" s="1"/>
  <c r="E29" i="2"/>
  <c r="J29" i="2" s="1"/>
  <c r="F29" i="2"/>
  <c r="K29" i="2" s="1"/>
  <c r="G29" i="2"/>
  <c r="L29" i="2" s="1"/>
  <c r="H29" i="2"/>
  <c r="M29" i="2" s="1"/>
  <c r="C30" i="2"/>
  <c r="D30" i="2"/>
  <c r="I30" i="2" s="1"/>
  <c r="E30" i="2"/>
  <c r="J30" i="2" s="1"/>
  <c r="F30" i="2"/>
  <c r="K30" i="2" s="1"/>
  <c r="G30" i="2"/>
  <c r="L30" i="2" s="1"/>
  <c r="H30" i="2"/>
  <c r="M30" i="2" s="1"/>
  <c r="C31" i="2"/>
  <c r="D31" i="2"/>
  <c r="I31" i="2" s="1"/>
  <c r="E31" i="2"/>
  <c r="J31" i="2" s="1"/>
  <c r="F31" i="2"/>
  <c r="K31" i="2" s="1"/>
  <c r="G31" i="2"/>
  <c r="L31" i="2" s="1"/>
  <c r="H31" i="2"/>
  <c r="M31" i="2" s="1"/>
  <c r="C32" i="2"/>
  <c r="D32" i="2"/>
  <c r="I32" i="2" s="1"/>
  <c r="E32" i="2"/>
  <c r="J32" i="2" s="1"/>
  <c r="F32" i="2"/>
  <c r="G32" i="2"/>
  <c r="H32" i="2"/>
  <c r="M32" i="2" s="1"/>
  <c r="C33" i="2"/>
  <c r="D33" i="2"/>
  <c r="I33" i="2" s="1"/>
  <c r="E33" i="2"/>
  <c r="J33" i="2" s="1"/>
  <c r="F33" i="2"/>
  <c r="K33" i="2" s="1"/>
  <c r="G33" i="2"/>
  <c r="L33" i="2" s="1"/>
  <c r="H33" i="2"/>
  <c r="M33" i="2" s="1"/>
  <c r="D9" i="2"/>
  <c r="E9" i="2"/>
  <c r="J9" i="2" s="1"/>
  <c r="F9" i="2"/>
  <c r="K9" i="2" s="1"/>
  <c r="G9" i="2"/>
  <c r="L9" i="2" s="1"/>
  <c r="H9" i="2"/>
  <c r="C9" i="2"/>
  <c r="L32" i="2"/>
  <c r="K32" i="2"/>
  <c r="I28" i="2"/>
  <c r="J28" i="2"/>
  <c r="K27" i="2"/>
  <c r="L26" i="2"/>
  <c r="J26" i="2"/>
  <c r="M24" i="2"/>
  <c r="L24" i="2"/>
  <c r="K24" i="2"/>
  <c r="J24" i="2"/>
  <c r="K20" i="2"/>
  <c r="J20" i="2"/>
  <c r="I18" i="2"/>
  <c r="J16" i="2"/>
  <c r="I15" i="2"/>
  <c r="L14" i="2"/>
  <c r="K14" i="2"/>
  <c r="J12" i="2"/>
  <c r="J10" i="2"/>
  <c r="M9" i="2"/>
  <c r="I9" i="2"/>
  <c r="J5" i="2"/>
  <c r="N77" i="2" l="1"/>
  <c r="O77" i="2" s="1"/>
  <c r="N50" i="2"/>
  <c r="O50" i="2" s="1"/>
  <c r="N63" i="2"/>
  <c r="O63" i="2" s="1"/>
  <c r="N48" i="2"/>
  <c r="O48" i="2" s="1"/>
  <c r="N57" i="2"/>
  <c r="O57" i="2" s="1"/>
  <c r="N51" i="2"/>
  <c r="O51" i="2" s="1"/>
  <c r="N36" i="2"/>
  <c r="O36" i="2" s="1"/>
  <c r="N65" i="2"/>
  <c r="O65" i="2" s="1"/>
  <c r="N78" i="2"/>
  <c r="O78" i="2" s="1"/>
  <c r="N72" i="2"/>
  <c r="O72" i="2" s="1"/>
  <c r="N42" i="2"/>
  <c r="O42" i="2" s="1"/>
  <c r="N30" i="2"/>
  <c r="O30" i="2" s="1"/>
  <c r="N66" i="2"/>
  <c r="O66" i="2" s="1"/>
  <c r="N74" i="2"/>
  <c r="O74" i="2" s="1"/>
  <c r="N38" i="2"/>
  <c r="O38" i="2" s="1"/>
  <c r="N69" i="2"/>
  <c r="O69" i="2" s="1"/>
  <c r="N39" i="2"/>
  <c r="O39" i="2" s="1"/>
  <c r="N54" i="2"/>
  <c r="O54" i="2" s="1"/>
  <c r="N45" i="2"/>
  <c r="O45" i="2" s="1"/>
  <c r="N12" i="2"/>
  <c r="O12" i="2" s="1"/>
  <c r="N68" i="2"/>
  <c r="O68" i="2" s="1"/>
  <c r="N18" i="2"/>
  <c r="O18" i="2" s="1"/>
  <c r="N75" i="2"/>
  <c r="O75" i="2" s="1"/>
  <c r="N60" i="2"/>
  <c r="O60" i="2" s="1"/>
  <c r="N53" i="2"/>
  <c r="O53" i="2" s="1"/>
  <c r="N44" i="2"/>
  <c r="O44" i="2" s="1"/>
  <c r="N59" i="2"/>
  <c r="O59" i="2" s="1"/>
  <c r="N80" i="2"/>
  <c r="O80" i="2" s="1"/>
  <c r="N79" i="2"/>
  <c r="O79" i="2" s="1"/>
  <c r="N49" i="2"/>
  <c r="O49" i="2" s="1"/>
  <c r="N40" i="2"/>
  <c r="O40" i="2" s="1"/>
  <c r="N61" i="2"/>
  <c r="O61" i="2" s="1"/>
  <c r="N43" i="2"/>
  <c r="O43" i="2" s="1"/>
  <c r="N64" i="2"/>
  <c r="O64" i="2" s="1"/>
  <c r="N70" i="2"/>
  <c r="O70" i="2" s="1"/>
  <c r="N55" i="2"/>
  <c r="O55" i="2" s="1"/>
  <c r="N46" i="2"/>
  <c r="O46" i="2" s="1"/>
  <c r="N67" i="2"/>
  <c r="O67" i="2" s="1"/>
  <c r="N34" i="2"/>
  <c r="O34" i="2" s="1"/>
  <c r="N73" i="2"/>
  <c r="O73" i="2" s="1"/>
  <c r="N37" i="2"/>
  <c r="O37" i="2" s="1"/>
  <c r="N76" i="2"/>
  <c r="O76" i="2" s="1"/>
  <c r="N52" i="2"/>
  <c r="O52" i="2" s="1"/>
  <c r="N58" i="2"/>
  <c r="O58" i="2" s="1"/>
  <c r="N15" i="2"/>
  <c r="O15" i="2" s="1"/>
  <c r="N21" i="2"/>
  <c r="O21" i="2" s="1"/>
  <c r="N25" i="2"/>
  <c r="O25" i="2" s="1"/>
  <c r="N27" i="2"/>
  <c r="O27" i="2" s="1"/>
  <c r="N33" i="2"/>
  <c r="O33" i="2" s="1"/>
  <c r="N14" i="2"/>
  <c r="O14" i="2" s="1"/>
  <c r="N17" i="2"/>
  <c r="O17" i="2" s="1"/>
  <c r="N20" i="2"/>
  <c r="O20" i="2" s="1"/>
  <c r="N23" i="2"/>
  <c r="O23" i="2" s="1"/>
  <c r="N26" i="2"/>
  <c r="O26" i="2" s="1"/>
  <c r="N29" i="2"/>
  <c r="O29" i="2" s="1"/>
  <c r="N9" i="2"/>
  <c r="O9" i="2" s="1"/>
  <c r="N22" i="2"/>
  <c r="O22" i="2" s="1"/>
  <c r="N19" i="2"/>
  <c r="O19" i="2" s="1"/>
  <c r="N16" i="2"/>
  <c r="O16" i="2" s="1"/>
  <c r="N10" i="2"/>
  <c r="O10" i="2" s="1"/>
  <c r="N11" i="2"/>
  <c r="O11" i="2" s="1"/>
  <c r="N31" i="2"/>
  <c r="O31" i="2" s="1"/>
  <c r="N32" i="2"/>
  <c r="O32" i="2" s="1"/>
  <c r="N13" i="2"/>
  <c r="O13" i="2" s="1"/>
  <c r="N28" i="2"/>
  <c r="O28" i="2" s="1"/>
</calcChain>
</file>

<file path=xl/sharedStrings.xml><?xml version="1.0" encoding="utf-8"?>
<sst xmlns="http://schemas.openxmlformats.org/spreadsheetml/2006/main" count="1422" uniqueCount="343">
  <si>
    <t>시행년도</t>
  </si>
  <si>
    <t>시행사 구분</t>
  </si>
  <si>
    <t>권역구 구분</t>
  </si>
  <si>
    <t>용인시</t>
  </si>
  <si>
    <t>순번</t>
  </si>
  <si>
    <t>조사측선명</t>
  </si>
  <si>
    <t>손상구분번호</t>
  </si>
  <si>
    <t>침하(mm)</t>
  </si>
  <si>
    <t>균열</t>
  </si>
  <si>
    <t>습윤</t>
  </si>
  <si>
    <t>노후도(년)</t>
  </si>
  <si>
    <t>지반침하발생이력</t>
  </si>
  <si>
    <t>침하점수</t>
  </si>
  <si>
    <t>균열점수</t>
  </si>
  <si>
    <t>습윤점수</t>
  </si>
  <si>
    <t>노후도점수</t>
  </si>
  <si>
    <t>보수보강이력</t>
  </si>
  <si>
    <t>평가점수</t>
  </si>
  <si>
    <t>평가등급</t>
  </si>
  <si>
    <t>조사자의견</t>
  </si>
  <si>
    <t>인접지번주소</t>
  </si>
  <si>
    <t>조사위치도</t>
  </si>
  <si>
    <t>부가정보1</t>
  </si>
  <si>
    <t>부가정보2</t>
  </si>
  <si>
    <t>신수로</t>
  </si>
  <si>
    <t>보통</t>
  </si>
  <si>
    <t>-</t>
  </si>
  <si>
    <t>일반</t>
  </si>
  <si>
    <t/>
  </si>
  <si>
    <t>양호</t>
  </si>
  <si>
    <t>거북등</t>
  </si>
  <si>
    <t>횡균열</t>
  </si>
  <si>
    <t>종균열</t>
  </si>
  <si>
    <t>풍덕천로</t>
  </si>
  <si>
    <t>로얄스포츠센터사거리</t>
  </si>
  <si>
    <t>정평중학교사거리</t>
  </si>
  <si>
    <t>수지로</t>
  </si>
  <si>
    <t>상현지구대삼거리</t>
  </si>
  <si>
    <t>광교중앙로</t>
  </si>
  <si>
    <t>상현역사거리</t>
  </si>
  <si>
    <t>26-01</t>
  </si>
  <si>
    <t>26-용인시-01</t>
  </si>
  <si>
    <t>종횡균열</t>
  </si>
  <si>
    <t>0</t>
  </si>
  <si>
    <t>1</t>
  </si>
  <si>
    <t>2</t>
  </si>
  <si>
    <t>동천동186-12</t>
  </si>
  <si>
    <t>바다생협대광어_용인본점(신수로783)</t>
  </si>
  <si>
    <t>26-02</t>
  </si>
  <si>
    <t>26-용인시-02</t>
  </si>
  <si>
    <t>3</t>
  </si>
  <si>
    <t>4</t>
  </si>
  <si>
    <t>만당주유소 앞 삼거리</t>
  </si>
  <si>
    <t>만당주유소 앞 삼거리(신수로781)</t>
  </si>
  <si>
    <t>26-03</t>
  </si>
  <si>
    <t>26-용인시-03</t>
  </si>
  <si>
    <t>5</t>
  </si>
  <si>
    <t>7cm 침하</t>
  </si>
  <si>
    <t>동천동899</t>
  </si>
  <si>
    <t>동천역 #3번출구 신호등 앞 도로(신수로767)</t>
  </si>
  <si>
    <t>현장확인필요</t>
  </si>
  <si>
    <t>26-04</t>
  </si>
  <si>
    <t>26-용인시-04</t>
  </si>
  <si>
    <t>동천역 #3번출구 앞 도로(신수로767)</t>
  </si>
  <si>
    <t>26-05</t>
  </si>
  <si>
    <t>26-용인시-05</t>
  </si>
  <si>
    <t>5cm이하 침하</t>
  </si>
  <si>
    <t>동천역 E/V_#2호기 앞 보도(신수로767)</t>
  </si>
  <si>
    <t>26-06</t>
  </si>
  <si>
    <t>26-용인시-06</t>
  </si>
  <si>
    <t>동천역 E/V_#2호기 앞 도로(신수로767)</t>
  </si>
  <si>
    <t>26-07</t>
  </si>
  <si>
    <t>26-용인시-07</t>
  </si>
  <si>
    <t>동천동900</t>
  </si>
  <si>
    <t>상선종점 피난계단 앞 도로</t>
  </si>
  <si>
    <t>26-08</t>
  </si>
  <si>
    <t>26-용인시-08</t>
  </si>
  <si>
    <t>긴급</t>
  </si>
  <si>
    <t>상선종점 피난계단 뒤 보도</t>
  </si>
  <si>
    <t>26-09</t>
  </si>
  <si>
    <t>26-용인시-09</t>
  </si>
  <si>
    <t>동천동901</t>
  </si>
  <si>
    <t>용인푸르지오 모델하우스 앞 도로(손곡로10)</t>
  </si>
  <si>
    <t>26-10</t>
  </si>
  <si>
    <t>26-용인시-10</t>
  </si>
  <si>
    <t>현대건설 힐스테이트 모델하우스 앞 양차선(손곡로10)</t>
  </si>
  <si>
    <t>26-11</t>
  </si>
  <si>
    <t>26-용인시-11</t>
  </si>
  <si>
    <t>풍덕천동860-6</t>
  </si>
  <si>
    <t>제네시스_수지 앞 도로(풍덕천로197번길11-2)</t>
  </si>
  <si>
    <t>26-12</t>
  </si>
  <si>
    <t>26-용인시-12</t>
  </si>
  <si>
    <t>풍덕천동740-9</t>
  </si>
  <si>
    <t>돌담집 앞 도로(풍덕천로197번길3-2)</t>
  </si>
  <si>
    <t>26-13</t>
  </si>
  <si>
    <t>26-용인시-13</t>
  </si>
  <si>
    <t>돌담집 앞 삼거리(풍덕천로197번길3-2)</t>
  </si>
  <si>
    <t>26-14</t>
  </si>
  <si>
    <t>26-용인시-14</t>
  </si>
  <si>
    <t>풍덕천동742-8</t>
  </si>
  <si>
    <t>샤인노래방 앞 도로(풍덕천로197번길1)</t>
  </si>
  <si>
    <t>26-15</t>
  </si>
  <si>
    <t>26-용인시-15</t>
  </si>
  <si>
    <t>풍덕천동742</t>
  </si>
  <si>
    <t>덕윤프라자 앞 도로(풍덕천로191)</t>
  </si>
  <si>
    <t>26-16</t>
  </si>
  <si>
    <t>26-용인시-16</t>
  </si>
  <si>
    <t>풍덕천동735-7</t>
  </si>
  <si>
    <t>삼정빌딩 앞 도로(풍덕천로187-1)</t>
  </si>
  <si>
    <t>26-17</t>
  </si>
  <si>
    <t>26-용인시-17</t>
  </si>
  <si>
    <t>풍덕천동732-6</t>
  </si>
  <si>
    <t>용인서부소방서수지119안전센터 앞 도로(풍덕천로177)</t>
  </si>
  <si>
    <t>26-18</t>
  </si>
  <si>
    <t>26-용인시-18</t>
  </si>
  <si>
    <t>풍덕천동703-4</t>
  </si>
  <si>
    <t>수지분당 공인중개사사무소 앞 도로(풍덕천로169)</t>
  </si>
  <si>
    <t>26-19</t>
  </si>
  <si>
    <t>26-용인시-19</t>
  </si>
  <si>
    <t>풍덕천동703</t>
  </si>
  <si>
    <t>동보아파트 놀이터 앞 도로(풍덕천로155)</t>
  </si>
  <si>
    <t>26-20</t>
  </si>
  <si>
    <t>26-용인시-20</t>
  </si>
  <si>
    <t>동보아파트 서울치과의원 앞 양차선(풍덕천로161)</t>
  </si>
  <si>
    <t>26-21</t>
  </si>
  <si>
    <t>26-용인시-21</t>
  </si>
  <si>
    <t>현대그린프라자 삼거리</t>
  </si>
  <si>
    <t>26-22</t>
  </si>
  <si>
    <t>26-용인시-22</t>
  </si>
  <si>
    <t>풍덕천동715-2</t>
  </si>
  <si>
    <t>현대그린프라자 앞 도로(풍덕천로149)</t>
  </si>
  <si>
    <t>26-23</t>
  </si>
  <si>
    <t>26-용인시-23</t>
  </si>
  <si>
    <t>풍덕천동714-5</t>
  </si>
  <si>
    <t>버거킹_수지구청역점 앞 도로(풍덕천로145)</t>
  </si>
  <si>
    <t>26-24</t>
  </si>
  <si>
    <t>26-용인시-24</t>
  </si>
  <si>
    <t>버거킹_수지구청역점 앞 보도(풍덕천로145)</t>
  </si>
  <si>
    <t>26-25</t>
  </si>
  <si>
    <t>26-용인시-25</t>
  </si>
  <si>
    <t>풍덕천동714-4</t>
  </si>
  <si>
    <t>수풍소공원 앞 도로</t>
  </si>
  <si>
    <t>26-26</t>
  </si>
  <si>
    <t>26-용인시-26</t>
  </si>
  <si>
    <t>수풍소공원 앞 교차로</t>
  </si>
  <si>
    <t>26-27</t>
  </si>
  <si>
    <t>26-용인시-27</t>
  </si>
  <si>
    <t>풍덕천동713-5</t>
  </si>
  <si>
    <t>금오프라자 롯데리아 앞 도로(풍덕천로133)</t>
  </si>
  <si>
    <t>26-28</t>
  </si>
  <si>
    <t>26-용인시-28</t>
  </si>
  <si>
    <t>풍덕천동712-3</t>
  </si>
  <si>
    <t>수지프라자 하르당 앞 도로(풍덕천로127)</t>
  </si>
  <si>
    <t>26-29</t>
  </si>
  <si>
    <t>26-용인시-29</t>
  </si>
  <si>
    <t>26-30</t>
  </si>
  <si>
    <t>26-용인시-30</t>
  </si>
  <si>
    <t>풍덕천동1065</t>
  </si>
  <si>
    <t>주공1단지 아파트 102동 앞 도로(풍덕천로91)5cm이하 침하</t>
  </si>
  <si>
    <t>26-31</t>
  </si>
  <si>
    <t>26-용인시-31</t>
  </si>
  <si>
    <t>풍덕천동1097</t>
  </si>
  <si>
    <t>신정마을 정문 앞 도로(풍덕천로86)</t>
  </si>
  <si>
    <t>26-32</t>
  </si>
  <si>
    <t>26-용인시-32</t>
  </si>
  <si>
    <t>풍덕천동1065-2</t>
  </si>
  <si>
    <t>GS25 앞 양차선(풍덕천로89)</t>
  </si>
  <si>
    <t>26-33</t>
  </si>
  <si>
    <t>26-용인시-33</t>
  </si>
  <si>
    <t>풍덕천동1064</t>
  </si>
  <si>
    <t>믿음공인중개사 사무소 앞 도로(풍덕천로89)</t>
  </si>
  <si>
    <t>26-34</t>
  </si>
  <si>
    <t>26-용인시-34</t>
  </si>
  <si>
    <t>풍덕천동1060</t>
  </si>
  <si>
    <t>상록아파트 정문 앞 도로(풍덕천로75)</t>
  </si>
  <si>
    <t>26-35</t>
  </si>
  <si>
    <t>26-용인시-35</t>
  </si>
  <si>
    <t>풍덕천동1051-2</t>
  </si>
  <si>
    <t>풍덕천2동행정복지센터 앞 양차선(풍덕천로51)</t>
  </si>
  <si>
    <t>26-36</t>
  </si>
  <si>
    <t>26-용인시-36</t>
  </si>
  <si>
    <t>풍덕천동1051-1</t>
  </si>
  <si>
    <t>즐거운한우_수지 앞 도로(정평로34-2)</t>
  </si>
  <si>
    <t>26-37</t>
  </si>
  <si>
    <t>26-용인시-37</t>
  </si>
  <si>
    <t>26-38</t>
  </si>
  <si>
    <t>26-용인시-38</t>
  </si>
  <si>
    <t>풍덕천동1028</t>
  </si>
  <si>
    <t>자라나는어린이집 앞 횡단보도(픙덕천로33)</t>
  </si>
  <si>
    <t>26-39</t>
  </si>
  <si>
    <t>26-용인시-39</t>
  </si>
  <si>
    <t>신정마을6단지 상록아파트611동 앞 도로</t>
  </si>
  <si>
    <t>26-40</t>
  </si>
  <si>
    <t>26-용인시-40</t>
  </si>
  <si>
    <t>GS25수지상록점 앞 도로(풍덕천로31)</t>
  </si>
  <si>
    <t>26-41</t>
  </si>
  <si>
    <t>26-용인시-41</t>
  </si>
  <si>
    <t>성복동740</t>
  </si>
  <si>
    <t>드림타워 버스정류장 앞 도로(성복2로76번길26-3)</t>
  </si>
  <si>
    <t>26-42</t>
  </si>
  <si>
    <t>26-용인시-42</t>
  </si>
  <si>
    <t>푸른마을 푸르지오삼거리</t>
  </si>
  <si>
    <t>푸르지오삼거리(성복2로76번길26-3)</t>
  </si>
  <si>
    <t>26-43</t>
  </si>
  <si>
    <t>26-용인시-43</t>
  </si>
  <si>
    <t>성복동748-2</t>
  </si>
  <si>
    <t>신봉샤르망1 정관장 앞 도로(성복2로76번길26-6)</t>
  </si>
  <si>
    <t>26-44</t>
  </si>
  <si>
    <t>26-용인시-44</t>
  </si>
  <si>
    <t>풍덕천동607-48</t>
  </si>
  <si>
    <t>어청교 앞 양차선</t>
  </si>
  <si>
    <t>26-45</t>
  </si>
  <si>
    <t>26-용인시-45</t>
  </si>
  <si>
    <t>성복동입구 교차로</t>
  </si>
  <si>
    <t>26-46</t>
  </si>
  <si>
    <t>26-용인시-46</t>
  </si>
  <si>
    <t>수지구 성복동69-1</t>
  </si>
  <si>
    <t>성복제일교회 앞 도로(수지로113)</t>
  </si>
  <si>
    <t>26-47</t>
  </si>
  <si>
    <t>26-용인시-47</t>
  </si>
  <si>
    <t>성복동90</t>
  </si>
  <si>
    <t>성동마을엘지빌리지2차아파트 202동 앞 도로(수지로113번길15)</t>
  </si>
  <si>
    <t>26-48</t>
  </si>
  <si>
    <t>26-용인시-48</t>
  </si>
  <si>
    <t>상현동105-1</t>
  </si>
  <si>
    <t>저먼오토 앞 도로(수지로88)</t>
  </si>
  <si>
    <t>26-49</t>
  </si>
  <si>
    <t>26-용인시-49</t>
  </si>
  <si>
    <t>성복동814</t>
  </si>
  <si>
    <t>롯데캐슬 파크나인 신한은행 앞 양차선성복역(성복1로13)</t>
  </si>
  <si>
    <t>26-50</t>
  </si>
  <si>
    <t>26-용인시-50</t>
  </si>
  <si>
    <t>상현동107-4</t>
  </si>
  <si>
    <t>성진빌딩 메가MGC커피 수지풍산삼거(수지로74)리점 앞 도로</t>
  </si>
  <si>
    <t>26-51</t>
  </si>
  <si>
    <t>26-용인시-51</t>
  </si>
  <si>
    <t>상현동193-11</t>
  </si>
  <si>
    <t>타이어테크_상현점 앞 양차선(수지로42-</t>
  </si>
  <si>
    <t>26-52</t>
  </si>
  <si>
    <t>26-용인시-52</t>
  </si>
  <si>
    <t>문풍지도어_수지대리점 앞 도로(수지로42)</t>
  </si>
  <si>
    <t>26-53</t>
  </si>
  <si>
    <t>26-용인시-53</t>
  </si>
  <si>
    <t>상현지구대 삼거리(수지로29)</t>
  </si>
  <si>
    <t>26-54</t>
  </si>
  <si>
    <t>26-용인시-54</t>
  </si>
  <si>
    <t>상현동198-10</t>
  </si>
  <si>
    <t>인접공사(심곡서원)현장 앞 도로</t>
  </si>
  <si>
    <t>26-55</t>
  </si>
  <si>
    <t>26-용인시-55</t>
  </si>
  <si>
    <t>상현동1206</t>
  </si>
  <si>
    <t>포레나광교상현아파트 101동 앞 도로(수지로17)</t>
  </si>
  <si>
    <t>26-56</t>
  </si>
  <si>
    <t>26-용인시-56</t>
  </si>
  <si>
    <t>상현동198-21</t>
  </si>
  <si>
    <t>본누벨 앞 도로(수지로20)</t>
  </si>
  <si>
    <t>26-57</t>
  </si>
  <si>
    <t>26-용인시-57</t>
  </si>
  <si>
    <t>상현동347-1</t>
  </si>
  <si>
    <t>팔달냉면_수지광교본점 앞 양차선(수지로16)</t>
  </si>
  <si>
    <t>26-58</t>
  </si>
  <si>
    <t>26-용인시-58</t>
  </si>
  <si>
    <t>상현동351-11</t>
  </si>
  <si>
    <t>기아오토큐 앞 양차선 및 교통섬주변(수지로4)</t>
  </si>
  <si>
    <t>26-59</t>
  </si>
  <si>
    <t>26-용인시-59</t>
  </si>
  <si>
    <t>상현동1221-2</t>
  </si>
  <si>
    <t>교동면옥 맞은편 도로</t>
  </si>
  <si>
    <t>26-60</t>
  </si>
  <si>
    <t>26-용인시-60</t>
  </si>
  <si>
    <t>상현동1222</t>
  </si>
  <si>
    <t>상현중학교 맞음편 도로</t>
  </si>
  <si>
    <t>26-61</t>
  </si>
  <si>
    <t>26-용인시-61</t>
  </si>
  <si>
    <t>26-62</t>
  </si>
  <si>
    <t>26-용인시-62</t>
  </si>
  <si>
    <t>상현동1117-1</t>
  </si>
  <si>
    <t>광교티타워 더벤티 앞 도로(광교중앙로315)</t>
  </si>
  <si>
    <t>26-63</t>
  </si>
  <si>
    <t>26-용인시-63</t>
  </si>
  <si>
    <t>상현동1131-1</t>
  </si>
  <si>
    <t>시티하임 / #1번출구 앞 환기구 주변 보도(광교중앙로316)</t>
  </si>
  <si>
    <t>26-64</t>
  </si>
  <si>
    <t>26-용인시-64</t>
  </si>
  <si>
    <t>상현동1131-2</t>
  </si>
  <si>
    <t>세현빌딩 / #1번출구 앞 도로(광교중앙로314)</t>
  </si>
  <si>
    <t>26-65</t>
  </si>
  <si>
    <t>26-용인시-65</t>
  </si>
  <si>
    <t>상현동1117-3</t>
  </si>
  <si>
    <t>희성빌딩 KT프라자 앞 도로(광교중앙로311)</t>
  </si>
  <si>
    <t>26-66</t>
  </si>
  <si>
    <t>26-용인시-66</t>
  </si>
  <si>
    <t>상현동1117-5</t>
  </si>
  <si>
    <t>광교2차푸르지오시티C동오피스텔 행복부동산 앞 도로(광교중앙로305)</t>
  </si>
  <si>
    <t>26-67</t>
  </si>
  <si>
    <t>26-용인시-67</t>
  </si>
  <si>
    <t>광교2차푸르지오시티C동오피스텔 서브웨이 앞 도로(광교중앙로305)</t>
  </si>
  <si>
    <t>26-68</t>
  </si>
  <si>
    <t>26-용인시-68</t>
  </si>
  <si>
    <t>상현동1131-6</t>
  </si>
  <si>
    <t>미주프라자 / #2번출구 앞 도로(광교중앙로304)</t>
  </si>
  <si>
    <t>26-69</t>
  </si>
  <si>
    <t>26-용인시-69</t>
  </si>
  <si>
    <t>상현동1131-8</t>
  </si>
  <si>
    <t>드림타워2 휴대폰도매센타-광교상현점 앞 도로(광교중앙로298)</t>
  </si>
  <si>
    <t>26-70</t>
  </si>
  <si>
    <t>26-용인시-70</t>
  </si>
  <si>
    <t>상현동1133</t>
  </si>
  <si>
    <t>엘리치안오피스텔 새미케이크 앞 도로(광교중앙로294)</t>
  </si>
  <si>
    <t>26-71</t>
  </si>
  <si>
    <t>26-용인시-71</t>
  </si>
  <si>
    <t>광교마을사거리</t>
  </si>
  <si>
    <t>26-72</t>
  </si>
  <si>
    <t>26-용인시-72</t>
  </si>
  <si>
    <t>상현동1066</t>
  </si>
  <si>
    <t>진고개통로</t>
  </si>
  <si>
    <t>경기철도㈜</t>
    <phoneticPr fontId="2" type="noConversion"/>
  </si>
  <si>
    <t>-</t>
    <phoneticPr fontId="2" type="noConversion"/>
  </si>
  <si>
    <t>○ 육안조사 결과표</t>
  </si>
  <si>
    <t>광역시도명</t>
  </si>
  <si>
    <t>서군구명</t>
  </si>
  <si>
    <t>대상시설명</t>
  </si>
  <si>
    <t>조사기간</t>
  </si>
  <si>
    <t>시설물관리자</t>
  </si>
  <si>
    <t>조사자</t>
  </si>
  <si>
    <t>경기도</t>
  </si>
  <si>
    <t>신분당선</t>
  </si>
  <si>
    <t>2026-03-17~2026-05-27</t>
    <phoneticPr fontId="2" type="noConversion"/>
  </si>
  <si>
    <t>기술참여자 명단 참조</t>
  </si>
  <si>
    <t>조사결과</t>
  </si>
  <si>
    <t>평가항목별 점수</t>
  </si>
  <si>
    <t>조사자 의견</t>
  </si>
  <si>
    <t>지반침하 발생 등의 이력1) (1년 이내)</t>
  </si>
  <si>
    <t>침하</t>
  </si>
  <si>
    <t>노후도</t>
  </si>
  <si>
    <t>동천동899</t>
    <phoneticPr fontId="2" type="noConversion"/>
  </si>
  <si>
    <t>7~9cm 보도침하</t>
    <phoneticPr fontId="2" type="noConversion"/>
  </si>
  <si>
    <t>보통</t>
    <phoneticPr fontId="2" type="noConversion"/>
  </si>
  <si>
    <t>5cm이하 보도침하</t>
    <phoneticPr fontId="2" type="noConversion"/>
  </si>
  <si>
    <t>5cm 보도침하</t>
    <phoneticPr fontId="2" type="noConversion"/>
  </si>
  <si>
    <t>현대그린프라자 삼거리</t>
    <phoneticPr fontId="2" type="noConversion"/>
  </si>
  <si>
    <t>5cm이하 침하</t>
    <phoneticPr fontId="2" type="noConversion"/>
  </si>
  <si>
    <t>신수로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</si>
</sst>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HY헤드라인M"/>
      <family val="1"/>
      <charset val="129"/>
    </font>
    <font>
      <sz val="11"/>
      <color theme="1"/>
      <name val="HY헤드라인M"/>
      <family val="1"/>
      <charset val="129"/>
    </font>
    <font>
      <sz val="9"/>
      <color theme="1"/>
      <name val="HY헤드라인M"/>
      <family val="1"/>
      <charset val="129"/>
    </font>
    <font>
      <sz val="9"/>
      <color theme="1"/>
      <name val="맑은 고딕"/>
      <family val="3"/>
      <charset val="129"/>
      <scheme val="minor"/>
    </font>
    <font>
      <sz val="6"/>
      <color theme="1"/>
      <name val="HY헤드라인M"/>
      <family val="1"/>
      <charset val="129"/>
    </font>
    <font>
      <sz val="12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6">
    <xf numFmtId="0" fontId="0" fillId="0" borderId="0" xfId="0" applyNumberFormat="1"/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" fillId="0" borderId="0" xfId="1">
      <alignment vertical="center"/>
    </xf>
    <xf numFmtId="0" fontId="5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" fillId="0" borderId="0" xfId="1" applyAlignment="1"/>
    <xf numFmtId="0" fontId="8" fillId="0" borderId="0" xfId="0" applyNumberFormat="1" applyFont="1"/>
    <xf numFmtId="0" fontId="5" fillId="0" borderId="1" xfId="1" applyFont="1" applyBorder="1" applyAlignment="1">
      <alignment horizontal="center" vertical="center" wrapText="1"/>
    </xf>
    <xf numFmtId="0" fontId="1" fillId="0" borderId="4" xfId="1" applyBorder="1" applyAlignment="1"/>
    <xf numFmtId="0" fontId="5" fillId="0" borderId="1" xfId="1" applyFont="1" applyBorder="1" applyAlignment="1">
      <alignment horizontal="center" vertical="center"/>
    </xf>
    <xf numFmtId="0" fontId="1" fillId="0" borderId="3" xfId="1" applyBorder="1" applyAlignment="1"/>
    <xf numFmtId="0" fontId="1" fillId="0" borderId="2" xfId="1" applyBorder="1" applyAlignment="1"/>
    <xf numFmtId="0" fontId="4" fillId="0" borderId="1" xfId="1" applyFont="1" applyBorder="1" applyAlignment="1">
      <alignment horizontal="center" vertical="center"/>
    </xf>
  </cellXfs>
  <cellStyles count="2">
    <cellStyle name="표준" xfId="0" builtinId="0"/>
    <cellStyle name="표준 2" xfId="1" xr:uid="{6A74555F-E7E3-46C0-9541-2771644F9CB3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5%20&#45236;%20&#47928;&#49436;%20&#47784;&#51020;\01.%20&#50629;&#47924;&#44288;&#47144;%20&#47928;&#49436;&#50577;&#49885;\017%20&#51648;&#54616;&#50504;&#51204;&#51216;&#44160;(&#51648;&#54616;&#50504;&#51204;&#48277;)%20&#44288;&#47144;\&#9632;%20&#50672;&#46020;&#48324;%20&#51648;&#54616;&#50504;&#51204;&#51216;&#44160;(&#50977;&#50504;&#51216;&#44160;)%20&#44208;&#44284;&#48372;&#44256;&#49436;\2026&#45380;%20&#51648;&#54616;&#50504;&#51204;&#51216;&#44160;%20&#48372;&#44256;&#49436;\&#51648;&#54616;&#50504;&#51204;_&#44081;&#49888;_26-&#44221;&#44592;&#52384;&#46020;-&#49688;&#50896;&#49884;-&#48372;&#44256;&#49436;.xlsx" TargetMode="External"/><Relationship Id="rId1" Type="http://schemas.openxmlformats.org/officeDocument/2006/relationships/externalLinkPath" Target="&#51648;&#54616;&#50504;&#51204;_&#44081;&#49888;_26-&#44221;&#44592;&#52384;&#46020;-&#49688;&#50896;&#49884;-&#48372;&#44256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Data"/>
      <sheetName val="V2"/>
    </sheetNames>
    <sheetDataSet>
      <sheetData sheetId="0">
        <row r="2">
          <cell r="B2" t="str">
            <v>경기철도㈜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6"/>
  <sheetViews>
    <sheetView tabSelected="1" workbookViewId="0">
      <selection activeCell="C80" sqref="C80"/>
    </sheetView>
  </sheetViews>
  <sheetFormatPr defaultRowHeight="17.25" x14ac:dyDescent="0.3"/>
  <sheetData>
    <row r="1" spans="1:20" x14ac:dyDescent="0.3">
      <c r="A1" t="s">
        <v>0</v>
      </c>
      <c r="B1" t="s">
        <v>1</v>
      </c>
      <c r="C1" t="s">
        <v>2</v>
      </c>
    </row>
    <row r="2" spans="1:20" x14ac:dyDescent="0.3">
      <c r="A2">
        <v>2026</v>
      </c>
      <c r="B2" t="s">
        <v>316</v>
      </c>
      <c r="C2" t="s">
        <v>3</v>
      </c>
    </row>
    <row r="4" spans="1:20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</row>
    <row r="5" spans="1:20" x14ac:dyDescent="0.3">
      <c r="A5" t="s">
        <v>40</v>
      </c>
      <c r="B5" s="9" t="s">
        <v>342</v>
      </c>
      <c r="C5" t="s">
        <v>41</v>
      </c>
      <c r="D5" t="s">
        <v>29</v>
      </c>
      <c r="E5" t="s">
        <v>42</v>
      </c>
      <c r="F5" t="s">
        <v>29</v>
      </c>
      <c r="G5">
        <v>10.3</v>
      </c>
      <c r="H5" t="s">
        <v>26</v>
      </c>
      <c r="I5" t="s">
        <v>43</v>
      </c>
      <c r="J5" t="s">
        <v>44</v>
      </c>
      <c r="K5" t="s">
        <v>43</v>
      </c>
      <c r="L5" t="s">
        <v>44</v>
      </c>
      <c r="M5" t="s">
        <v>43</v>
      </c>
      <c r="N5" t="s">
        <v>45</v>
      </c>
      <c r="O5" t="s">
        <v>27</v>
      </c>
      <c r="P5" t="s">
        <v>26</v>
      </c>
      <c r="Q5" t="s">
        <v>46</v>
      </c>
      <c r="R5" t="s">
        <v>28</v>
      </c>
      <c r="S5" t="s">
        <v>47</v>
      </c>
      <c r="T5" t="s">
        <v>28</v>
      </c>
    </row>
    <row r="6" spans="1:20" x14ac:dyDescent="0.3">
      <c r="A6" t="s">
        <v>48</v>
      </c>
      <c r="B6" t="s">
        <v>24</v>
      </c>
      <c r="C6" t="s">
        <v>49</v>
      </c>
      <c r="D6" t="s">
        <v>29</v>
      </c>
      <c r="E6" t="s">
        <v>30</v>
      </c>
      <c r="F6" t="s">
        <v>29</v>
      </c>
      <c r="G6">
        <v>10.3</v>
      </c>
      <c r="H6" t="s">
        <v>26</v>
      </c>
      <c r="I6" t="s">
        <v>43</v>
      </c>
      <c r="J6" t="s">
        <v>50</v>
      </c>
      <c r="K6" t="s">
        <v>43</v>
      </c>
      <c r="L6" t="s">
        <v>44</v>
      </c>
      <c r="M6" t="s">
        <v>43</v>
      </c>
      <c r="N6" t="s">
        <v>51</v>
      </c>
      <c r="O6" t="s">
        <v>27</v>
      </c>
      <c r="P6" t="s">
        <v>26</v>
      </c>
      <c r="Q6" t="s">
        <v>52</v>
      </c>
      <c r="R6" t="s">
        <v>28</v>
      </c>
      <c r="S6" t="s">
        <v>53</v>
      </c>
      <c r="T6" t="s">
        <v>28</v>
      </c>
    </row>
    <row r="7" spans="1:20" x14ac:dyDescent="0.3">
      <c r="A7" t="s">
        <v>54</v>
      </c>
      <c r="B7" t="s">
        <v>24</v>
      </c>
      <c r="C7" t="s">
        <v>55</v>
      </c>
      <c r="D7" t="s">
        <v>25</v>
      </c>
      <c r="E7" t="s">
        <v>42</v>
      </c>
      <c r="F7" t="s">
        <v>29</v>
      </c>
      <c r="G7">
        <v>10.3</v>
      </c>
      <c r="H7" t="s">
        <v>26</v>
      </c>
      <c r="I7" t="s">
        <v>50</v>
      </c>
      <c r="J7" t="s">
        <v>44</v>
      </c>
      <c r="K7" t="s">
        <v>43</v>
      </c>
      <c r="L7" t="s">
        <v>44</v>
      </c>
      <c r="M7" t="s">
        <v>43</v>
      </c>
      <c r="N7" t="s">
        <v>56</v>
      </c>
      <c r="O7" t="s">
        <v>27</v>
      </c>
      <c r="P7" t="s">
        <v>57</v>
      </c>
      <c r="Q7" t="s">
        <v>58</v>
      </c>
      <c r="R7" t="s">
        <v>28</v>
      </c>
      <c r="S7" t="s">
        <v>59</v>
      </c>
      <c r="T7" t="s">
        <v>60</v>
      </c>
    </row>
    <row r="8" spans="1:20" x14ac:dyDescent="0.3">
      <c r="A8" t="s">
        <v>61</v>
      </c>
      <c r="B8" t="s">
        <v>24</v>
      </c>
      <c r="C8" t="s">
        <v>62</v>
      </c>
      <c r="D8" t="s">
        <v>29</v>
      </c>
      <c r="E8" t="s">
        <v>30</v>
      </c>
      <c r="F8" t="s">
        <v>29</v>
      </c>
      <c r="G8">
        <v>10.3</v>
      </c>
      <c r="H8" t="s">
        <v>26</v>
      </c>
      <c r="I8" t="s">
        <v>43</v>
      </c>
      <c r="J8" t="s">
        <v>50</v>
      </c>
      <c r="K8" t="s">
        <v>43</v>
      </c>
      <c r="L8" t="s">
        <v>44</v>
      </c>
      <c r="M8" t="s">
        <v>43</v>
      </c>
      <c r="N8" t="s">
        <v>51</v>
      </c>
      <c r="O8" t="s">
        <v>27</v>
      </c>
      <c r="P8" t="s">
        <v>26</v>
      </c>
      <c r="Q8" t="s">
        <v>58</v>
      </c>
      <c r="R8" t="s">
        <v>28</v>
      </c>
      <c r="S8" t="s">
        <v>63</v>
      </c>
      <c r="T8" t="s">
        <v>28</v>
      </c>
    </row>
    <row r="9" spans="1:20" x14ac:dyDescent="0.3">
      <c r="A9" t="s">
        <v>64</v>
      </c>
      <c r="B9" t="s">
        <v>24</v>
      </c>
      <c r="C9" t="s">
        <v>65</v>
      </c>
      <c r="D9" t="s">
        <v>29</v>
      </c>
      <c r="E9" t="s">
        <v>317</v>
      </c>
      <c r="F9" t="s">
        <v>29</v>
      </c>
      <c r="G9">
        <v>10.3</v>
      </c>
      <c r="H9" t="s">
        <v>26</v>
      </c>
      <c r="I9" t="s">
        <v>43</v>
      </c>
      <c r="J9" t="s">
        <v>43</v>
      </c>
      <c r="K9" t="s">
        <v>43</v>
      </c>
      <c r="L9" t="s">
        <v>44</v>
      </c>
      <c r="M9" t="s">
        <v>43</v>
      </c>
      <c r="N9" t="s">
        <v>44</v>
      </c>
      <c r="O9" t="s">
        <v>27</v>
      </c>
      <c r="P9" s="9" t="s">
        <v>339</v>
      </c>
      <c r="Q9" t="s">
        <v>335</v>
      </c>
      <c r="R9" t="s">
        <v>28</v>
      </c>
      <c r="S9" t="s">
        <v>67</v>
      </c>
      <c r="T9" t="s">
        <v>60</v>
      </c>
    </row>
    <row r="10" spans="1:20" x14ac:dyDescent="0.3">
      <c r="A10" t="s">
        <v>68</v>
      </c>
      <c r="B10" t="s">
        <v>24</v>
      </c>
      <c r="C10" t="s">
        <v>69</v>
      </c>
      <c r="D10" t="s">
        <v>29</v>
      </c>
      <c r="E10" t="s">
        <v>32</v>
      </c>
      <c r="F10" t="s">
        <v>29</v>
      </c>
      <c r="G10">
        <v>10.3</v>
      </c>
      <c r="H10" t="s">
        <v>26</v>
      </c>
      <c r="I10" t="s">
        <v>43</v>
      </c>
      <c r="J10" t="s">
        <v>44</v>
      </c>
      <c r="K10" t="s">
        <v>43</v>
      </c>
      <c r="L10" t="s">
        <v>44</v>
      </c>
      <c r="M10" t="s">
        <v>43</v>
      </c>
      <c r="N10" t="s">
        <v>45</v>
      </c>
      <c r="O10" t="s">
        <v>27</v>
      </c>
      <c r="P10" t="s">
        <v>26</v>
      </c>
      <c r="Q10" t="s">
        <v>58</v>
      </c>
      <c r="R10" t="s">
        <v>28</v>
      </c>
      <c r="S10" t="s">
        <v>70</v>
      </c>
      <c r="T10" t="s">
        <v>28</v>
      </c>
    </row>
    <row r="11" spans="1:20" x14ac:dyDescent="0.3">
      <c r="A11" t="s">
        <v>71</v>
      </c>
      <c r="B11" t="s">
        <v>24</v>
      </c>
      <c r="C11" t="s">
        <v>72</v>
      </c>
      <c r="D11" t="s">
        <v>29</v>
      </c>
      <c r="E11" t="s">
        <v>30</v>
      </c>
      <c r="F11" t="s">
        <v>29</v>
      </c>
      <c r="G11">
        <v>10.3</v>
      </c>
      <c r="H11" t="s">
        <v>26</v>
      </c>
      <c r="I11" t="s">
        <v>43</v>
      </c>
      <c r="J11" t="s">
        <v>50</v>
      </c>
      <c r="K11" t="s">
        <v>43</v>
      </c>
      <c r="L11" t="s">
        <v>44</v>
      </c>
      <c r="M11" t="s">
        <v>43</v>
      </c>
      <c r="N11" t="s">
        <v>51</v>
      </c>
      <c r="O11" t="s">
        <v>27</v>
      </c>
      <c r="P11" t="s">
        <v>26</v>
      </c>
      <c r="Q11" t="s">
        <v>73</v>
      </c>
      <c r="R11" t="s">
        <v>28</v>
      </c>
      <c r="S11" t="s">
        <v>74</v>
      </c>
      <c r="T11" t="s">
        <v>28</v>
      </c>
    </row>
    <row r="12" spans="1:20" x14ac:dyDescent="0.3">
      <c r="A12" t="s">
        <v>75</v>
      </c>
      <c r="B12" t="s">
        <v>24</v>
      </c>
      <c r="C12" t="s">
        <v>76</v>
      </c>
      <c r="D12" s="9" t="s">
        <v>337</v>
      </c>
      <c r="E12" t="s">
        <v>317</v>
      </c>
      <c r="F12" t="s">
        <v>29</v>
      </c>
      <c r="G12">
        <v>10.3</v>
      </c>
      <c r="H12" t="s">
        <v>26</v>
      </c>
      <c r="I12" t="s">
        <v>50</v>
      </c>
      <c r="J12" t="s">
        <v>43</v>
      </c>
      <c r="K12" t="s">
        <v>43</v>
      </c>
      <c r="L12" t="s">
        <v>44</v>
      </c>
      <c r="M12" t="s">
        <v>43</v>
      </c>
      <c r="N12" s="9" t="s">
        <v>51</v>
      </c>
      <c r="O12" t="s">
        <v>77</v>
      </c>
      <c r="P12" s="9" t="s">
        <v>336</v>
      </c>
      <c r="Q12" t="s">
        <v>73</v>
      </c>
      <c r="R12" t="s">
        <v>28</v>
      </c>
      <c r="S12" t="s">
        <v>78</v>
      </c>
      <c r="T12" t="s">
        <v>60</v>
      </c>
    </row>
    <row r="13" spans="1:20" x14ac:dyDescent="0.3">
      <c r="A13" t="s">
        <v>79</v>
      </c>
      <c r="B13" t="s">
        <v>24</v>
      </c>
      <c r="C13" t="s">
        <v>80</v>
      </c>
      <c r="D13" t="s">
        <v>29</v>
      </c>
      <c r="E13" t="s">
        <v>42</v>
      </c>
      <c r="F13" t="s">
        <v>29</v>
      </c>
      <c r="G13">
        <v>10.3</v>
      </c>
      <c r="H13" t="s">
        <v>26</v>
      </c>
      <c r="I13" t="s">
        <v>43</v>
      </c>
      <c r="J13" t="s">
        <v>44</v>
      </c>
      <c r="K13" t="s">
        <v>43</v>
      </c>
      <c r="L13" t="s">
        <v>44</v>
      </c>
      <c r="M13" t="s">
        <v>43</v>
      </c>
      <c r="N13" t="s">
        <v>45</v>
      </c>
      <c r="O13" t="s">
        <v>27</v>
      </c>
      <c r="P13" t="s">
        <v>26</v>
      </c>
      <c r="Q13" t="s">
        <v>81</v>
      </c>
      <c r="R13" t="s">
        <v>28</v>
      </c>
      <c r="S13" t="s">
        <v>82</v>
      </c>
      <c r="T13" t="s">
        <v>28</v>
      </c>
    </row>
    <row r="14" spans="1:20" x14ac:dyDescent="0.3">
      <c r="A14" t="s">
        <v>83</v>
      </c>
      <c r="B14" t="s">
        <v>24</v>
      </c>
      <c r="C14" t="s">
        <v>84</v>
      </c>
      <c r="D14" t="s">
        <v>29</v>
      </c>
      <c r="E14" t="s">
        <v>30</v>
      </c>
      <c r="F14" t="s">
        <v>29</v>
      </c>
      <c r="G14">
        <v>10.3</v>
      </c>
      <c r="H14" t="s">
        <v>26</v>
      </c>
      <c r="I14" t="s">
        <v>43</v>
      </c>
      <c r="J14" t="s">
        <v>50</v>
      </c>
      <c r="K14" t="s">
        <v>43</v>
      </c>
      <c r="L14" t="s">
        <v>44</v>
      </c>
      <c r="M14" t="s">
        <v>43</v>
      </c>
      <c r="N14" t="s">
        <v>51</v>
      </c>
      <c r="O14" t="s">
        <v>27</v>
      </c>
      <c r="P14" t="s">
        <v>26</v>
      </c>
      <c r="Q14" t="s">
        <v>81</v>
      </c>
      <c r="R14" t="s">
        <v>28</v>
      </c>
      <c r="S14" t="s">
        <v>85</v>
      </c>
      <c r="T14" t="s">
        <v>28</v>
      </c>
    </row>
    <row r="15" spans="1:20" x14ac:dyDescent="0.3">
      <c r="A15" t="s">
        <v>86</v>
      </c>
      <c r="B15" t="s">
        <v>24</v>
      </c>
      <c r="C15" t="s">
        <v>87</v>
      </c>
      <c r="D15" t="s">
        <v>29</v>
      </c>
      <c r="E15" t="s">
        <v>30</v>
      </c>
      <c r="F15" t="s">
        <v>29</v>
      </c>
      <c r="G15">
        <v>10.3</v>
      </c>
      <c r="H15" t="s">
        <v>26</v>
      </c>
      <c r="I15" t="s">
        <v>43</v>
      </c>
      <c r="J15" t="s">
        <v>50</v>
      </c>
      <c r="K15" t="s">
        <v>43</v>
      </c>
      <c r="L15" t="s">
        <v>44</v>
      </c>
      <c r="M15" t="s">
        <v>43</v>
      </c>
      <c r="N15" t="s">
        <v>51</v>
      </c>
      <c r="O15" t="s">
        <v>27</v>
      </c>
      <c r="P15" t="s">
        <v>26</v>
      </c>
      <c r="Q15" t="s">
        <v>88</v>
      </c>
      <c r="R15" t="s">
        <v>28</v>
      </c>
      <c r="S15" t="s">
        <v>89</v>
      </c>
      <c r="T15" t="s">
        <v>28</v>
      </c>
    </row>
    <row r="16" spans="1:20" x14ac:dyDescent="0.3">
      <c r="A16" t="s">
        <v>90</v>
      </c>
      <c r="B16" t="s">
        <v>33</v>
      </c>
      <c r="C16" t="s">
        <v>91</v>
      </c>
      <c r="D16" t="s">
        <v>29</v>
      </c>
      <c r="E16" t="s">
        <v>317</v>
      </c>
      <c r="F16" t="s">
        <v>29</v>
      </c>
      <c r="G16">
        <v>10.3</v>
      </c>
      <c r="H16" t="s">
        <v>26</v>
      </c>
      <c r="I16" t="s">
        <v>43</v>
      </c>
      <c r="J16" t="s">
        <v>43</v>
      </c>
      <c r="K16" t="s">
        <v>43</v>
      </c>
      <c r="L16" t="s">
        <v>44</v>
      </c>
      <c r="M16" t="s">
        <v>43</v>
      </c>
      <c r="N16" t="s">
        <v>44</v>
      </c>
      <c r="O16" t="s">
        <v>27</v>
      </c>
      <c r="P16" t="s">
        <v>66</v>
      </c>
      <c r="Q16" t="s">
        <v>92</v>
      </c>
      <c r="R16" t="s">
        <v>28</v>
      </c>
      <c r="S16" t="s">
        <v>93</v>
      </c>
      <c r="T16" t="s">
        <v>28</v>
      </c>
    </row>
    <row r="17" spans="1:20" x14ac:dyDescent="0.3">
      <c r="A17" t="s">
        <v>94</v>
      </c>
      <c r="B17" t="s">
        <v>33</v>
      </c>
      <c r="C17" t="s">
        <v>95</v>
      </c>
      <c r="D17" t="s">
        <v>29</v>
      </c>
      <c r="E17" t="s">
        <v>30</v>
      </c>
      <c r="F17" t="s">
        <v>29</v>
      </c>
      <c r="G17">
        <v>10.3</v>
      </c>
      <c r="H17" t="s">
        <v>26</v>
      </c>
      <c r="I17" t="s">
        <v>43</v>
      </c>
      <c r="J17" t="s">
        <v>50</v>
      </c>
      <c r="K17" t="s">
        <v>43</v>
      </c>
      <c r="L17" t="s">
        <v>44</v>
      </c>
      <c r="M17" t="s">
        <v>43</v>
      </c>
      <c r="N17" t="s">
        <v>51</v>
      </c>
      <c r="O17" t="s">
        <v>27</v>
      </c>
      <c r="P17" t="s">
        <v>26</v>
      </c>
      <c r="Q17" t="s">
        <v>92</v>
      </c>
      <c r="R17" t="s">
        <v>28</v>
      </c>
      <c r="S17" t="s">
        <v>96</v>
      </c>
      <c r="T17" t="s">
        <v>28</v>
      </c>
    </row>
    <row r="18" spans="1:20" x14ac:dyDescent="0.3">
      <c r="A18" t="s">
        <v>97</v>
      </c>
      <c r="B18" t="s">
        <v>33</v>
      </c>
      <c r="C18" t="s">
        <v>98</v>
      </c>
      <c r="D18" t="s">
        <v>29</v>
      </c>
      <c r="E18" t="s">
        <v>317</v>
      </c>
      <c r="F18" t="s">
        <v>29</v>
      </c>
      <c r="G18">
        <v>10.3</v>
      </c>
      <c r="H18" t="s">
        <v>26</v>
      </c>
      <c r="I18" t="s">
        <v>43</v>
      </c>
      <c r="J18" t="s">
        <v>43</v>
      </c>
      <c r="K18" t="s">
        <v>43</v>
      </c>
      <c r="L18" t="s">
        <v>44</v>
      </c>
      <c r="M18" t="s">
        <v>43</v>
      </c>
      <c r="N18" t="s">
        <v>44</v>
      </c>
      <c r="O18" t="s">
        <v>27</v>
      </c>
      <c r="P18" t="s">
        <v>66</v>
      </c>
      <c r="Q18" t="s">
        <v>99</v>
      </c>
      <c r="R18" t="s">
        <v>28</v>
      </c>
      <c r="S18" t="s">
        <v>100</v>
      </c>
      <c r="T18" t="s">
        <v>28</v>
      </c>
    </row>
    <row r="19" spans="1:20" x14ac:dyDescent="0.3">
      <c r="A19" t="s">
        <v>101</v>
      </c>
      <c r="B19" t="s">
        <v>33</v>
      </c>
      <c r="C19" t="s">
        <v>102</v>
      </c>
      <c r="D19" t="s">
        <v>29</v>
      </c>
      <c r="E19" t="s">
        <v>30</v>
      </c>
      <c r="F19" t="s">
        <v>29</v>
      </c>
      <c r="G19">
        <v>10.3</v>
      </c>
      <c r="H19" t="s">
        <v>26</v>
      </c>
      <c r="I19" t="s">
        <v>43</v>
      </c>
      <c r="J19" t="s">
        <v>50</v>
      </c>
      <c r="K19" t="s">
        <v>43</v>
      </c>
      <c r="L19" t="s">
        <v>44</v>
      </c>
      <c r="M19" t="s">
        <v>43</v>
      </c>
      <c r="N19" t="s">
        <v>51</v>
      </c>
      <c r="O19" t="s">
        <v>27</v>
      </c>
      <c r="P19" t="s">
        <v>26</v>
      </c>
      <c r="Q19" t="s">
        <v>103</v>
      </c>
      <c r="R19" t="s">
        <v>28</v>
      </c>
      <c r="S19" t="s">
        <v>104</v>
      </c>
      <c r="T19" t="s">
        <v>28</v>
      </c>
    </row>
    <row r="20" spans="1:20" x14ac:dyDescent="0.3">
      <c r="A20" t="s">
        <v>105</v>
      </c>
      <c r="B20" t="s">
        <v>33</v>
      </c>
      <c r="C20" t="s">
        <v>106</v>
      </c>
      <c r="D20" t="s">
        <v>29</v>
      </c>
      <c r="E20" t="s">
        <v>30</v>
      </c>
      <c r="F20" t="s">
        <v>29</v>
      </c>
      <c r="G20">
        <v>10.3</v>
      </c>
      <c r="H20" t="s">
        <v>26</v>
      </c>
      <c r="I20" t="s">
        <v>43</v>
      </c>
      <c r="J20" t="s">
        <v>50</v>
      </c>
      <c r="K20" t="s">
        <v>43</v>
      </c>
      <c r="L20" t="s">
        <v>44</v>
      </c>
      <c r="M20" t="s">
        <v>43</v>
      </c>
      <c r="N20" t="s">
        <v>51</v>
      </c>
      <c r="O20" t="s">
        <v>27</v>
      </c>
      <c r="P20" t="s">
        <v>26</v>
      </c>
      <c r="Q20" t="s">
        <v>107</v>
      </c>
      <c r="R20" t="s">
        <v>28</v>
      </c>
      <c r="S20" t="s">
        <v>108</v>
      </c>
      <c r="T20" t="s">
        <v>28</v>
      </c>
    </row>
    <row r="21" spans="1:20" x14ac:dyDescent="0.3">
      <c r="A21" t="s">
        <v>109</v>
      </c>
      <c r="B21" t="s">
        <v>33</v>
      </c>
      <c r="C21" t="s">
        <v>110</v>
      </c>
      <c r="D21" t="s">
        <v>29</v>
      </c>
      <c r="E21" t="s">
        <v>30</v>
      </c>
      <c r="F21" t="s">
        <v>29</v>
      </c>
      <c r="G21">
        <v>10.3</v>
      </c>
      <c r="H21" t="s">
        <v>26</v>
      </c>
      <c r="I21" t="s">
        <v>43</v>
      </c>
      <c r="J21" t="s">
        <v>50</v>
      </c>
      <c r="K21" t="s">
        <v>43</v>
      </c>
      <c r="L21" t="s">
        <v>44</v>
      </c>
      <c r="M21" t="s">
        <v>43</v>
      </c>
      <c r="N21" t="s">
        <v>51</v>
      </c>
      <c r="O21" t="s">
        <v>27</v>
      </c>
      <c r="P21" t="s">
        <v>26</v>
      </c>
      <c r="Q21" t="s">
        <v>111</v>
      </c>
      <c r="R21" t="s">
        <v>28</v>
      </c>
      <c r="S21" t="s">
        <v>112</v>
      </c>
      <c r="T21" t="s">
        <v>28</v>
      </c>
    </row>
    <row r="22" spans="1:20" x14ac:dyDescent="0.3">
      <c r="A22" t="s">
        <v>113</v>
      </c>
      <c r="B22" t="s">
        <v>33</v>
      </c>
      <c r="C22" t="s">
        <v>114</v>
      </c>
      <c r="D22" t="s">
        <v>29</v>
      </c>
      <c r="E22" t="s">
        <v>30</v>
      </c>
      <c r="F22" t="s">
        <v>29</v>
      </c>
      <c r="G22">
        <v>10.3</v>
      </c>
      <c r="H22" t="s">
        <v>26</v>
      </c>
      <c r="I22" t="s">
        <v>43</v>
      </c>
      <c r="J22" t="s">
        <v>50</v>
      </c>
      <c r="K22" t="s">
        <v>43</v>
      </c>
      <c r="L22" t="s">
        <v>44</v>
      </c>
      <c r="M22" t="s">
        <v>43</v>
      </c>
      <c r="N22" t="s">
        <v>51</v>
      </c>
      <c r="O22" t="s">
        <v>27</v>
      </c>
      <c r="P22" t="s">
        <v>26</v>
      </c>
      <c r="Q22" t="s">
        <v>115</v>
      </c>
      <c r="R22" t="s">
        <v>28</v>
      </c>
      <c r="S22" t="s">
        <v>116</v>
      </c>
      <c r="T22" t="s">
        <v>28</v>
      </c>
    </row>
    <row r="23" spans="1:20" x14ac:dyDescent="0.3">
      <c r="A23" t="s">
        <v>117</v>
      </c>
      <c r="B23" t="s">
        <v>33</v>
      </c>
      <c r="C23" t="s">
        <v>118</v>
      </c>
      <c r="D23" t="s">
        <v>29</v>
      </c>
      <c r="E23" t="s">
        <v>30</v>
      </c>
      <c r="F23" t="s">
        <v>29</v>
      </c>
      <c r="G23">
        <v>10.3</v>
      </c>
      <c r="H23" t="s">
        <v>26</v>
      </c>
      <c r="I23" t="s">
        <v>43</v>
      </c>
      <c r="J23" t="s">
        <v>50</v>
      </c>
      <c r="K23" t="s">
        <v>43</v>
      </c>
      <c r="L23" t="s">
        <v>44</v>
      </c>
      <c r="M23" t="s">
        <v>43</v>
      </c>
      <c r="N23" t="s">
        <v>51</v>
      </c>
      <c r="O23" t="s">
        <v>27</v>
      </c>
      <c r="P23" t="s">
        <v>26</v>
      </c>
      <c r="Q23" t="s">
        <v>119</v>
      </c>
      <c r="R23" t="s">
        <v>28</v>
      </c>
      <c r="S23" t="s">
        <v>120</v>
      </c>
      <c r="T23" t="s">
        <v>28</v>
      </c>
    </row>
    <row r="24" spans="1:20" x14ac:dyDescent="0.3">
      <c r="A24" t="s">
        <v>121</v>
      </c>
      <c r="B24" t="s">
        <v>33</v>
      </c>
      <c r="C24" t="s">
        <v>122</v>
      </c>
      <c r="D24" t="s">
        <v>29</v>
      </c>
      <c r="E24" t="s">
        <v>30</v>
      </c>
      <c r="F24" t="s">
        <v>29</v>
      </c>
      <c r="G24">
        <v>10.3</v>
      </c>
      <c r="H24" t="s">
        <v>26</v>
      </c>
      <c r="I24" t="s">
        <v>43</v>
      </c>
      <c r="J24" t="s">
        <v>50</v>
      </c>
      <c r="K24" t="s">
        <v>43</v>
      </c>
      <c r="L24" t="s">
        <v>44</v>
      </c>
      <c r="M24" t="s">
        <v>43</v>
      </c>
      <c r="N24" t="s">
        <v>51</v>
      </c>
      <c r="O24" t="s">
        <v>27</v>
      </c>
      <c r="P24" t="s">
        <v>26</v>
      </c>
      <c r="Q24" t="s">
        <v>119</v>
      </c>
      <c r="R24" t="s">
        <v>28</v>
      </c>
      <c r="S24" t="s">
        <v>123</v>
      </c>
      <c r="T24" t="s">
        <v>28</v>
      </c>
    </row>
    <row r="25" spans="1:20" x14ac:dyDescent="0.3">
      <c r="A25" t="s">
        <v>124</v>
      </c>
      <c r="B25" t="s">
        <v>33</v>
      </c>
      <c r="C25" t="s">
        <v>125</v>
      </c>
      <c r="D25" t="s">
        <v>29</v>
      </c>
      <c r="E25" t="s">
        <v>30</v>
      </c>
      <c r="F25" t="s">
        <v>29</v>
      </c>
      <c r="G25">
        <v>10.3</v>
      </c>
      <c r="H25" t="s">
        <v>26</v>
      </c>
      <c r="I25" t="s">
        <v>43</v>
      </c>
      <c r="J25" t="s">
        <v>50</v>
      </c>
      <c r="K25" t="s">
        <v>43</v>
      </c>
      <c r="L25" t="s">
        <v>44</v>
      </c>
      <c r="M25" t="s">
        <v>43</v>
      </c>
      <c r="N25" t="s">
        <v>51</v>
      </c>
      <c r="O25" t="s">
        <v>27</v>
      </c>
      <c r="P25" t="s">
        <v>66</v>
      </c>
      <c r="Q25" t="s">
        <v>126</v>
      </c>
      <c r="R25" t="s">
        <v>28</v>
      </c>
      <c r="S25" t="s">
        <v>340</v>
      </c>
      <c r="T25" t="s">
        <v>28</v>
      </c>
    </row>
    <row r="26" spans="1:20" x14ac:dyDescent="0.3">
      <c r="A26" t="s">
        <v>127</v>
      </c>
      <c r="B26" t="s">
        <v>33</v>
      </c>
      <c r="C26" t="s">
        <v>128</v>
      </c>
      <c r="D26" t="s">
        <v>29</v>
      </c>
      <c r="E26" t="s">
        <v>30</v>
      </c>
      <c r="F26" t="s">
        <v>29</v>
      </c>
      <c r="G26">
        <v>10.3</v>
      </c>
      <c r="H26" t="s">
        <v>26</v>
      </c>
      <c r="I26" t="s">
        <v>43</v>
      </c>
      <c r="J26" t="s">
        <v>50</v>
      </c>
      <c r="K26" t="s">
        <v>43</v>
      </c>
      <c r="L26" t="s">
        <v>44</v>
      </c>
      <c r="M26" t="s">
        <v>43</v>
      </c>
      <c r="N26" t="s">
        <v>51</v>
      </c>
      <c r="O26" t="s">
        <v>27</v>
      </c>
      <c r="P26" t="s">
        <v>26</v>
      </c>
      <c r="Q26" t="s">
        <v>129</v>
      </c>
      <c r="R26" t="s">
        <v>28</v>
      </c>
      <c r="S26" t="s">
        <v>130</v>
      </c>
      <c r="T26" t="s">
        <v>28</v>
      </c>
    </row>
    <row r="27" spans="1:20" x14ac:dyDescent="0.3">
      <c r="A27" t="s">
        <v>131</v>
      </c>
      <c r="B27" t="s">
        <v>33</v>
      </c>
      <c r="C27" t="s">
        <v>132</v>
      </c>
      <c r="D27" t="s">
        <v>29</v>
      </c>
      <c r="E27" t="s">
        <v>30</v>
      </c>
      <c r="F27" t="s">
        <v>29</v>
      </c>
      <c r="G27">
        <v>10.3</v>
      </c>
      <c r="H27" t="s">
        <v>26</v>
      </c>
      <c r="I27" t="s">
        <v>43</v>
      </c>
      <c r="J27" t="s">
        <v>50</v>
      </c>
      <c r="K27" t="s">
        <v>43</v>
      </c>
      <c r="L27" t="s">
        <v>44</v>
      </c>
      <c r="M27" t="s">
        <v>43</v>
      </c>
      <c r="N27" t="s">
        <v>51</v>
      </c>
      <c r="O27" t="s">
        <v>27</v>
      </c>
      <c r="P27" t="s">
        <v>26</v>
      </c>
      <c r="Q27" t="s">
        <v>133</v>
      </c>
      <c r="R27" t="s">
        <v>28</v>
      </c>
      <c r="S27" t="s">
        <v>134</v>
      </c>
      <c r="T27" t="s">
        <v>28</v>
      </c>
    </row>
    <row r="28" spans="1:20" x14ac:dyDescent="0.3">
      <c r="A28" t="s">
        <v>135</v>
      </c>
      <c r="B28" t="s">
        <v>33</v>
      </c>
      <c r="C28" t="s">
        <v>136</v>
      </c>
      <c r="D28" t="s">
        <v>29</v>
      </c>
      <c r="E28" t="s">
        <v>317</v>
      </c>
      <c r="F28" t="s">
        <v>29</v>
      </c>
      <c r="G28">
        <v>10.3</v>
      </c>
      <c r="H28" t="s">
        <v>26</v>
      </c>
      <c r="I28" t="s">
        <v>43</v>
      </c>
      <c r="J28" t="s">
        <v>43</v>
      </c>
      <c r="K28" t="s">
        <v>43</v>
      </c>
      <c r="L28" t="s">
        <v>44</v>
      </c>
      <c r="M28" t="s">
        <v>43</v>
      </c>
      <c r="N28" t="s">
        <v>44</v>
      </c>
      <c r="O28" t="s">
        <v>27</v>
      </c>
      <c r="P28" t="s">
        <v>66</v>
      </c>
      <c r="Q28" t="s">
        <v>133</v>
      </c>
      <c r="R28" t="s">
        <v>28</v>
      </c>
      <c r="S28" t="s">
        <v>137</v>
      </c>
      <c r="T28" t="s">
        <v>28</v>
      </c>
    </row>
    <row r="29" spans="1:20" x14ac:dyDescent="0.3">
      <c r="A29" t="s">
        <v>138</v>
      </c>
      <c r="B29" t="s">
        <v>33</v>
      </c>
      <c r="C29" t="s">
        <v>139</v>
      </c>
      <c r="D29" t="s">
        <v>29</v>
      </c>
      <c r="E29" t="s">
        <v>30</v>
      </c>
      <c r="F29" t="s">
        <v>29</v>
      </c>
      <c r="G29">
        <v>10.3</v>
      </c>
      <c r="H29" t="s">
        <v>26</v>
      </c>
      <c r="I29" t="s">
        <v>43</v>
      </c>
      <c r="J29" t="s">
        <v>50</v>
      </c>
      <c r="K29" t="s">
        <v>43</v>
      </c>
      <c r="L29" t="s">
        <v>44</v>
      </c>
      <c r="M29" t="s">
        <v>43</v>
      </c>
      <c r="N29" t="s">
        <v>51</v>
      </c>
      <c r="O29" t="s">
        <v>27</v>
      </c>
      <c r="P29" t="s">
        <v>26</v>
      </c>
      <c r="Q29" t="s">
        <v>140</v>
      </c>
      <c r="R29" t="s">
        <v>28</v>
      </c>
      <c r="S29" t="s">
        <v>141</v>
      </c>
      <c r="T29" t="s">
        <v>28</v>
      </c>
    </row>
    <row r="30" spans="1:20" x14ac:dyDescent="0.3">
      <c r="A30" t="s">
        <v>142</v>
      </c>
      <c r="B30" t="s">
        <v>33</v>
      </c>
      <c r="C30" t="s">
        <v>143</v>
      </c>
      <c r="D30" t="s">
        <v>29</v>
      </c>
      <c r="E30" t="s">
        <v>30</v>
      </c>
      <c r="F30" t="s">
        <v>29</v>
      </c>
      <c r="G30">
        <v>10.3</v>
      </c>
      <c r="H30" t="s">
        <v>26</v>
      </c>
      <c r="I30" t="s">
        <v>43</v>
      </c>
      <c r="J30" t="s">
        <v>50</v>
      </c>
      <c r="K30" t="s">
        <v>43</v>
      </c>
      <c r="L30" t="s">
        <v>44</v>
      </c>
      <c r="M30" t="s">
        <v>43</v>
      </c>
      <c r="N30" t="s">
        <v>51</v>
      </c>
      <c r="O30" t="s">
        <v>27</v>
      </c>
      <c r="P30" t="s">
        <v>26</v>
      </c>
      <c r="Q30" t="s">
        <v>140</v>
      </c>
      <c r="R30" t="s">
        <v>28</v>
      </c>
      <c r="S30" t="s">
        <v>144</v>
      </c>
      <c r="T30" t="s">
        <v>28</v>
      </c>
    </row>
    <row r="31" spans="1:20" x14ac:dyDescent="0.3">
      <c r="A31" t="s">
        <v>145</v>
      </c>
      <c r="B31" t="s">
        <v>33</v>
      </c>
      <c r="C31" t="s">
        <v>146</v>
      </c>
      <c r="D31" t="s">
        <v>29</v>
      </c>
      <c r="E31" t="s">
        <v>30</v>
      </c>
      <c r="F31" t="s">
        <v>29</v>
      </c>
      <c r="G31">
        <v>10.3</v>
      </c>
      <c r="H31" t="s">
        <v>26</v>
      </c>
      <c r="I31" t="s">
        <v>43</v>
      </c>
      <c r="J31" t="s">
        <v>50</v>
      </c>
      <c r="K31" t="s">
        <v>43</v>
      </c>
      <c r="L31" t="s">
        <v>44</v>
      </c>
      <c r="M31" t="s">
        <v>43</v>
      </c>
      <c r="N31" t="s">
        <v>51</v>
      </c>
      <c r="O31" t="s">
        <v>27</v>
      </c>
      <c r="P31" t="s">
        <v>26</v>
      </c>
      <c r="Q31" t="s">
        <v>147</v>
      </c>
      <c r="R31" t="s">
        <v>28</v>
      </c>
      <c r="S31" t="s">
        <v>148</v>
      </c>
      <c r="T31" t="s">
        <v>28</v>
      </c>
    </row>
    <row r="32" spans="1:20" x14ac:dyDescent="0.3">
      <c r="A32" t="s">
        <v>149</v>
      </c>
      <c r="B32" t="s">
        <v>33</v>
      </c>
      <c r="C32" t="s">
        <v>150</v>
      </c>
      <c r="D32" t="s">
        <v>29</v>
      </c>
      <c r="E32" t="s">
        <v>30</v>
      </c>
      <c r="F32" t="s">
        <v>29</v>
      </c>
      <c r="G32">
        <v>10.3</v>
      </c>
      <c r="H32" t="s">
        <v>26</v>
      </c>
      <c r="I32" t="s">
        <v>43</v>
      </c>
      <c r="J32" t="s">
        <v>50</v>
      </c>
      <c r="K32" t="s">
        <v>43</v>
      </c>
      <c r="L32" t="s">
        <v>44</v>
      </c>
      <c r="M32" t="s">
        <v>43</v>
      </c>
      <c r="N32" t="s">
        <v>51</v>
      </c>
      <c r="O32" t="s">
        <v>27</v>
      </c>
      <c r="P32" t="s">
        <v>66</v>
      </c>
      <c r="Q32" t="s">
        <v>151</v>
      </c>
      <c r="R32" t="s">
        <v>28</v>
      </c>
      <c r="S32" t="s">
        <v>152</v>
      </c>
      <c r="T32" t="s">
        <v>28</v>
      </c>
    </row>
    <row r="33" spans="1:20" x14ac:dyDescent="0.3">
      <c r="A33" t="s">
        <v>153</v>
      </c>
      <c r="B33" t="s">
        <v>33</v>
      </c>
      <c r="C33" t="s">
        <v>154</v>
      </c>
      <c r="D33" t="s">
        <v>29</v>
      </c>
      <c r="E33" t="s">
        <v>30</v>
      </c>
      <c r="F33" t="s">
        <v>29</v>
      </c>
      <c r="G33">
        <v>10.3</v>
      </c>
      <c r="H33" t="s">
        <v>26</v>
      </c>
      <c r="I33" t="s">
        <v>43</v>
      </c>
      <c r="J33" t="s">
        <v>50</v>
      </c>
      <c r="K33" t="s">
        <v>43</v>
      </c>
      <c r="L33" t="s">
        <v>44</v>
      </c>
      <c r="M33" t="s">
        <v>43</v>
      </c>
      <c r="N33" t="s">
        <v>51</v>
      </c>
      <c r="O33" t="s">
        <v>27</v>
      </c>
      <c r="P33" t="s">
        <v>26</v>
      </c>
      <c r="Q33" t="s">
        <v>34</v>
      </c>
      <c r="R33" t="s">
        <v>28</v>
      </c>
      <c r="S33" t="s">
        <v>34</v>
      </c>
      <c r="T33" t="s">
        <v>28</v>
      </c>
    </row>
    <row r="34" spans="1:20" x14ac:dyDescent="0.3">
      <c r="A34" t="s">
        <v>155</v>
      </c>
      <c r="B34" t="s">
        <v>33</v>
      </c>
      <c r="C34" t="s">
        <v>156</v>
      </c>
      <c r="D34" t="s">
        <v>29</v>
      </c>
      <c r="E34" t="s">
        <v>30</v>
      </c>
      <c r="F34" t="s">
        <v>29</v>
      </c>
      <c r="G34">
        <v>10.3</v>
      </c>
      <c r="H34" t="s">
        <v>26</v>
      </c>
      <c r="I34" t="s">
        <v>43</v>
      </c>
      <c r="J34" t="s">
        <v>50</v>
      </c>
      <c r="K34" t="s">
        <v>43</v>
      </c>
      <c r="L34" t="s">
        <v>44</v>
      </c>
      <c r="M34" t="s">
        <v>43</v>
      </c>
      <c r="N34" t="s">
        <v>51</v>
      </c>
      <c r="O34" t="s">
        <v>27</v>
      </c>
      <c r="P34" t="s">
        <v>26</v>
      </c>
      <c r="Q34" t="s">
        <v>157</v>
      </c>
      <c r="R34" t="s">
        <v>28</v>
      </c>
      <c r="S34" t="s">
        <v>158</v>
      </c>
      <c r="T34" t="s">
        <v>28</v>
      </c>
    </row>
    <row r="35" spans="1:20" x14ac:dyDescent="0.3">
      <c r="A35" t="s">
        <v>159</v>
      </c>
      <c r="B35" t="s">
        <v>33</v>
      </c>
      <c r="C35" t="s">
        <v>160</v>
      </c>
      <c r="D35" t="s">
        <v>29</v>
      </c>
      <c r="E35" t="s">
        <v>30</v>
      </c>
      <c r="F35" t="s">
        <v>29</v>
      </c>
      <c r="G35">
        <v>10.3</v>
      </c>
      <c r="H35" t="s">
        <v>26</v>
      </c>
      <c r="I35" t="s">
        <v>43</v>
      </c>
      <c r="J35" t="s">
        <v>50</v>
      </c>
      <c r="K35" t="s">
        <v>43</v>
      </c>
      <c r="L35" t="s">
        <v>44</v>
      </c>
      <c r="M35" t="s">
        <v>43</v>
      </c>
      <c r="N35" t="s">
        <v>51</v>
      </c>
      <c r="O35" t="s">
        <v>27</v>
      </c>
      <c r="P35" t="s">
        <v>26</v>
      </c>
      <c r="Q35" t="s">
        <v>161</v>
      </c>
      <c r="R35" t="s">
        <v>28</v>
      </c>
      <c r="S35" t="s">
        <v>162</v>
      </c>
      <c r="T35" t="s">
        <v>28</v>
      </c>
    </row>
    <row r="36" spans="1:20" x14ac:dyDescent="0.3">
      <c r="A36" t="s">
        <v>163</v>
      </c>
      <c r="B36" t="s">
        <v>33</v>
      </c>
      <c r="C36" t="s">
        <v>164</v>
      </c>
      <c r="D36" t="s">
        <v>29</v>
      </c>
      <c r="E36" t="s">
        <v>30</v>
      </c>
      <c r="F36" t="s">
        <v>29</v>
      </c>
      <c r="G36">
        <v>10.3</v>
      </c>
      <c r="H36" t="s">
        <v>26</v>
      </c>
      <c r="I36" t="s">
        <v>43</v>
      </c>
      <c r="J36" t="s">
        <v>50</v>
      </c>
      <c r="K36" t="s">
        <v>43</v>
      </c>
      <c r="L36" t="s">
        <v>44</v>
      </c>
      <c r="M36" t="s">
        <v>43</v>
      </c>
      <c r="N36" t="s">
        <v>51</v>
      </c>
      <c r="O36" t="s">
        <v>27</v>
      </c>
      <c r="P36" t="s">
        <v>26</v>
      </c>
      <c r="Q36" t="s">
        <v>165</v>
      </c>
      <c r="R36" t="s">
        <v>28</v>
      </c>
      <c r="S36" t="s">
        <v>166</v>
      </c>
      <c r="T36" t="s">
        <v>28</v>
      </c>
    </row>
    <row r="37" spans="1:20" x14ac:dyDescent="0.3">
      <c r="A37" t="s">
        <v>167</v>
      </c>
      <c r="B37" t="s">
        <v>33</v>
      </c>
      <c r="C37" t="s">
        <v>168</v>
      </c>
      <c r="D37" t="s">
        <v>29</v>
      </c>
      <c r="E37" t="s">
        <v>31</v>
      </c>
      <c r="F37" t="s">
        <v>29</v>
      </c>
      <c r="G37">
        <v>10.3</v>
      </c>
      <c r="H37" t="s">
        <v>26</v>
      </c>
      <c r="I37" t="s">
        <v>43</v>
      </c>
      <c r="J37" t="s">
        <v>44</v>
      </c>
      <c r="K37" t="s">
        <v>43</v>
      </c>
      <c r="L37" t="s">
        <v>44</v>
      </c>
      <c r="M37" t="s">
        <v>43</v>
      </c>
      <c r="N37" t="s">
        <v>45</v>
      </c>
      <c r="O37" t="s">
        <v>27</v>
      </c>
      <c r="P37" t="s">
        <v>26</v>
      </c>
      <c r="Q37" t="s">
        <v>169</v>
      </c>
      <c r="R37" t="s">
        <v>28</v>
      </c>
      <c r="S37" t="s">
        <v>170</v>
      </c>
      <c r="T37" t="s">
        <v>28</v>
      </c>
    </row>
    <row r="38" spans="1:20" x14ac:dyDescent="0.3">
      <c r="A38" t="s">
        <v>171</v>
      </c>
      <c r="B38" t="s">
        <v>33</v>
      </c>
      <c r="C38" t="s">
        <v>172</v>
      </c>
      <c r="D38" t="s">
        <v>29</v>
      </c>
      <c r="E38" t="s">
        <v>317</v>
      </c>
      <c r="F38" t="s">
        <v>29</v>
      </c>
      <c r="G38">
        <v>10.3</v>
      </c>
      <c r="H38" t="s">
        <v>26</v>
      </c>
      <c r="I38" t="s">
        <v>43</v>
      </c>
      <c r="J38" t="s">
        <v>44</v>
      </c>
      <c r="K38" t="s">
        <v>43</v>
      </c>
      <c r="L38" t="s">
        <v>44</v>
      </c>
      <c r="M38" t="s">
        <v>43</v>
      </c>
      <c r="N38" t="s">
        <v>45</v>
      </c>
      <c r="O38" t="s">
        <v>27</v>
      </c>
      <c r="P38" t="s">
        <v>26</v>
      </c>
      <c r="Q38" t="s">
        <v>173</v>
      </c>
      <c r="R38" t="s">
        <v>28</v>
      </c>
      <c r="S38" t="s">
        <v>174</v>
      </c>
      <c r="T38" t="s">
        <v>28</v>
      </c>
    </row>
    <row r="39" spans="1:20" x14ac:dyDescent="0.3">
      <c r="A39" t="s">
        <v>175</v>
      </c>
      <c r="B39" t="s">
        <v>33</v>
      </c>
      <c r="C39" t="s">
        <v>176</v>
      </c>
      <c r="D39" t="s">
        <v>29</v>
      </c>
      <c r="E39" t="s">
        <v>30</v>
      </c>
      <c r="F39" t="s">
        <v>29</v>
      </c>
      <c r="G39">
        <v>10.3</v>
      </c>
      <c r="H39" t="s">
        <v>26</v>
      </c>
      <c r="I39" t="s">
        <v>43</v>
      </c>
      <c r="J39" t="s">
        <v>50</v>
      </c>
      <c r="K39" t="s">
        <v>43</v>
      </c>
      <c r="L39" t="s">
        <v>44</v>
      </c>
      <c r="M39" t="s">
        <v>43</v>
      </c>
      <c r="N39" t="s">
        <v>51</v>
      </c>
      <c r="O39" t="s">
        <v>27</v>
      </c>
      <c r="P39" t="s">
        <v>26</v>
      </c>
      <c r="Q39" t="s">
        <v>177</v>
      </c>
      <c r="R39" t="s">
        <v>28</v>
      </c>
      <c r="S39" t="s">
        <v>178</v>
      </c>
      <c r="T39" t="s">
        <v>28</v>
      </c>
    </row>
    <row r="40" spans="1:20" x14ac:dyDescent="0.3">
      <c r="A40" t="s">
        <v>179</v>
      </c>
      <c r="B40" t="s">
        <v>33</v>
      </c>
      <c r="C40" t="s">
        <v>180</v>
      </c>
      <c r="D40" t="s">
        <v>29</v>
      </c>
      <c r="E40" t="s">
        <v>30</v>
      </c>
      <c r="F40" t="s">
        <v>29</v>
      </c>
      <c r="G40">
        <v>10.3</v>
      </c>
      <c r="H40" t="s">
        <v>26</v>
      </c>
      <c r="I40" t="s">
        <v>43</v>
      </c>
      <c r="J40" t="s">
        <v>50</v>
      </c>
      <c r="K40" t="s">
        <v>43</v>
      </c>
      <c r="L40" t="s">
        <v>44</v>
      </c>
      <c r="M40" t="s">
        <v>43</v>
      </c>
      <c r="N40" t="s">
        <v>51</v>
      </c>
      <c r="O40" t="s">
        <v>27</v>
      </c>
      <c r="P40" t="s">
        <v>26</v>
      </c>
      <c r="Q40" t="s">
        <v>181</v>
      </c>
      <c r="R40" t="s">
        <v>28</v>
      </c>
      <c r="S40" t="s">
        <v>182</v>
      </c>
      <c r="T40" t="s">
        <v>28</v>
      </c>
    </row>
    <row r="41" spans="1:20" x14ac:dyDescent="0.3">
      <c r="A41" t="s">
        <v>183</v>
      </c>
      <c r="B41" t="s">
        <v>33</v>
      </c>
      <c r="C41" t="s">
        <v>184</v>
      </c>
      <c r="D41" t="s">
        <v>29</v>
      </c>
      <c r="E41" t="s">
        <v>30</v>
      </c>
      <c r="F41" t="s">
        <v>29</v>
      </c>
      <c r="G41">
        <v>10.3</v>
      </c>
      <c r="H41" t="s">
        <v>26</v>
      </c>
      <c r="I41" t="s">
        <v>43</v>
      </c>
      <c r="J41" t="s">
        <v>50</v>
      </c>
      <c r="K41" t="s">
        <v>43</v>
      </c>
      <c r="L41" t="s">
        <v>44</v>
      </c>
      <c r="M41" t="s">
        <v>43</v>
      </c>
      <c r="N41" t="s">
        <v>51</v>
      </c>
      <c r="O41" t="s">
        <v>27</v>
      </c>
      <c r="P41" t="s">
        <v>26</v>
      </c>
      <c r="Q41" t="s">
        <v>35</v>
      </c>
      <c r="R41" t="s">
        <v>28</v>
      </c>
      <c r="S41" t="s">
        <v>35</v>
      </c>
      <c r="T41" t="s">
        <v>28</v>
      </c>
    </row>
    <row r="42" spans="1:20" x14ac:dyDescent="0.3">
      <c r="A42" t="s">
        <v>185</v>
      </c>
      <c r="B42" t="s">
        <v>33</v>
      </c>
      <c r="C42" t="s">
        <v>186</v>
      </c>
      <c r="D42" t="s">
        <v>29</v>
      </c>
      <c r="E42" t="s">
        <v>31</v>
      </c>
      <c r="F42" t="s">
        <v>29</v>
      </c>
      <c r="G42">
        <v>10.3</v>
      </c>
      <c r="H42" t="s">
        <v>26</v>
      </c>
      <c r="I42" t="s">
        <v>43</v>
      </c>
      <c r="J42" t="s">
        <v>44</v>
      </c>
      <c r="K42" t="s">
        <v>43</v>
      </c>
      <c r="L42" t="s">
        <v>44</v>
      </c>
      <c r="M42" t="s">
        <v>43</v>
      </c>
      <c r="N42" t="s">
        <v>45</v>
      </c>
      <c r="O42" t="s">
        <v>27</v>
      </c>
      <c r="P42" t="s">
        <v>26</v>
      </c>
      <c r="Q42" t="s">
        <v>187</v>
      </c>
      <c r="R42" t="s">
        <v>28</v>
      </c>
      <c r="S42" t="s">
        <v>188</v>
      </c>
      <c r="T42" t="s">
        <v>28</v>
      </c>
    </row>
    <row r="43" spans="1:20" x14ac:dyDescent="0.3">
      <c r="A43" t="s">
        <v>189</v>
      </c>
      <c r="B43" t="s">
        <v>33</v>
      </c>
      <c r="C43" t="s">
        <v>190</v>
      </c>
      <c r="D43" t="s">
        <v>29</v>
      </c>
      <c r="E43" t="s">
        <v>30</v>
      </c>
      <c r="F43" t="s">
        <v>29</v>
      </c>
      <c r="G43">
        <v>10.3</v>
      </c>
      <c r="H43" t="s">
        <v>26</v>
      </c>
      <c r="I43" t="s">
        <v>43</v>
      </c>
      <c r="J43" t="s">
        <v>50</v>
      </c>
      <c r="K43" t="s">
        <v>43</v>
      </c>
      <c r="L43" t="s">
        <v>44</v>
      </c>
      <c r="M43" t="s">
        <v>43</v>
      </c>
      <c r="N43" t="s">
        <v>51</v>
      </c>
      <c r="O43" t="s">
        <v>27</v>
      </c>
      <c r="P43" t="s">
        <v>26</v>
      </c>
      <c r="Q43" t="s">
        <v>187</v>
      </c>
      <c r="R43" t="s">
        <v>28</v>
      </c>
      <c r="S43" t="s">
        <v>191</v>
      </c>
      <c r="T43" t="s">
        <v>28</v>
      </c>
    </row>
    <row r="44" spans="1:20" x14ac:dyDescent="0.3">
      <c r="A44" t="s">
        <v>192</v>
      </c>
      <c r="B44" t="s">
        <v>33</v>
      </c>
      <c r="C44" t="s">
        <v>193</v>
      </c>
      <c r="D44" t="s">
        <v>29</v>
      </c>
      <c r="E44" t="s">
        <v>31</v>
      </c>
      <c r="F44" t="s">
        <v>29</v>
      </c>
      <c r="G44">
        <v>10.3</v>
      </c>
      <c r="H44" t="s">
        <v>26</v>
      </c>
      <c r="I44" t="s">
        <v>43</v>
      </c>
      <c r="J44" t="s">
        <v>44</v>
      </c>
      <c r="K44" t="s">
        <v>43</v>
      </c>
      <c r="L44" t="s">
        <v>44</v>
      </c>
      <c r="M44" t="s">
        <v>43</v>
      </c>
      <c r="N44" t="s">
        <v>45</v>
      </c>
      <c r="O44" t="s">
        <v>27</v>
      </c>
      <c r="P44" t="s">
        <v>26</v>
      </c>
      <c r="Q44" t="s">
        <v>187</v>
      </c>
      <c r="R44" t="s">
        <v>28</v>
      </c>
      <c r="S44" t="s">
        <v>194</v>
      </c>
      <c r="T44" t="s">
        <v>28</v>
      </c>
    </row>
    <row r="45" spans="1:20" x14ac:dyDescent="0.3">
      <c r="A45" t="s">
        <v>195</v>
      </c>
      <c r="B45" t="s">
        <v>36</v>
      </c>
      <c r="C45" t="s">
        <v>196</v>
      </c>
      <c r="D45" t="s">
        <v>29</v>
      </c>
      <c r="E45" t="s">
        <v>30</v>
      </c>
      <c r="F45" t="s">
        <v>29</v>
      </c>
      <c r="G45">
        <v>10.3</v>
      </c>
      <c r="H45" t="s">
        <v>26</v>
      </c>
      <c r="I45" t="s">
        <v>43</v>
      </c>
      <c r="J45" t="s">
        <v>50</v>
      </c>
      <c r="K45" t="s">
        <v>43</v>
      </c>
      <c r="L45" t="s">
        <v>44</v>
      </c>
      <c r="M45" t="s">
        <v>43</v>
      </c>
      <c r="N45" t="s">
        <v>51</v>
      </c>
      <c r="O45" t="s">
        <v>27</v>
      </c>
      <c r="P45" t="s">
        <v>26</v>
      </c>
      <c r="Q45" t="s">
        <v>197</v>
      </c>
      <c r="R45" t="s">
        <v>28</v>
      </c>
      <c r="S45" t="s">
        <v>198</v>
      </c>
      <c r="T45" t="s">
        <v>28</v>
      </c>
    </row>
    <row r="46" spans="1:20" x14ac:dyDescent="0.3">
      <c r="A46" t="s">
        <v>199</v>
      </c>
      <c r="B46" t="s">
        <v>36</v>
      </c>
      <c r="C46" t="s">
        <v>200</v>
      </c>
      <c r="D46" t="s">
        <v>29</v>
      </c>
      <c r="E46" t="s">
        <v>42</v>
      </c>
      <c r="F46" t="s">
        <v>29</v>
      </c>
      <c r="G46">
        <v>10.3</v>
      </c>
      <c r="H46" t="s">
        <v>26</v>
      </c>
      <c r="I46" t="s">
        <v>43</v>
      </c>
      <c r="J46" t="s">
        <v>44</v>
      </c>
      <c r="K46" t="s">
        <v>43</v>
      </c>
      <c r="L46" t="s">
        <v>44</v>
      </c>
      <c r="M46" t="s">
        <v>43</v>
      </c>
      <c r="N46" t="s">
        <v>45</v>
      </c>
      <c r="O46" t="s">
        <v>27</v>
      </c>
      <c r="P46" t="s">
        <v>26</v>
      </c>
      <c r="Q46" t="s">
        <v>201</v>
      </c>
      <c r="R46" t="s">
        <v>28</v>
      </c>
      <c r="S46" t="s">
        <v>202</v>
      </c>
      <c r="T46" t="s">
        <v>28</v>
      </c>
    </row>
    <row r="47" spans="1:20" x14ac:dyDescent="0.3">
      <c r="A47" t="s">
        <v>203</v>
      </c>
      <c r="B47" t="s">
        <v>36</v>
      </c>
      <c r="C47" t="s">
        <v>204</v>
      </c>
      <c r="D47" t="s">
        <v>29</v>
      </c>
      <c r="E47" t="s">
        <v>30</v>
      </c>
      <c r="F47" t="s">
        <v>29</v>
      </c>
      <c r="G47">
        <v>10.3</v>
      </c>
      <c r="H47" t="s">
        <v>26</v>
      </c>
      <c r="I47" t="s">
        <v>43</v>
      </c>
      <c r="J47" t="s">
        <v>50</v>
      </c>
      <c r="K47" t="s">
        <v>43</v>
      </c>
      <c r="L47" t="s">
        <v>44</v>
      </c>
      <c r="M47" t="s">
        <v>43</v>
      </c>
      <c r="N47" t="s">
        <v>51</v>
      </c>
      <c r="O47" t="s">
        <v>27</v>
      </c>
      <c r="P47" t="s">
        <v>26</v>
      </c>
      <c r="Q47" t="s">
        <v>205</v>
      </c>
      <c r="R47" t="s">
        <v>28</v>
      </c>
      <c r="S47" t="s">
        <v>206</v>
      </c>
      <c r="T47" t="s">
        <v>28</v>
      </c>
    </row>
    <row r="48" spans="1:20" x14ac:dyDescent="0.3">
      <c r="A48" t="s">
        <v>207</v>
      </c>
      <c r="B48" t="s">
        <v>36</v>
      </c>
      <c r="C48" t="s">
        <v>208</v>
      </c>
      <c r="D48" t="s">
        <v>29</v>
      </c>
      <c r="E48" t="s">
        <v>30</v>
      </c>
      <c r="F48" t="s">
        <v>29</v>
      </c>
      <c r="G48">
        <v>10.3</v>
      </c>
      <c r="H48" t="s">
        <v>26</v>
      </c>
      <c r="I48" t="s">
        <v>43</v>
      </c>
      <c r="J48" t="s">
        <v>50</v>
      </c>
      <c r="K48" t="s">
        <v>43</v>
      </c>
      <c r="L48" t="s">
        <v>44</v>
      </c>
      <c r="M48" t="s">
        <v>43</v>
      </c>
      <c r="N48" t="s">
        <v>51</v>
      </c>
      <c r="O48" t="s">
        <v>27</v>
      </c>
      <c r="P48" t="s">
        <v>26</v>
      </c>
      <c r="Q48" t="s">
        <v>209</v>
      </c>
      <c r="R48" t="s">
        <v>28</v>
      </c>
      <c r="S48" t="s">
        <v>210</v>
      </c>
      <c r="T48" t="s">
        <v>28</v>
      </c>
    </row>
    <row r="49" spans="1:20" x14ac:dyDescent="0.3">
      <c r="A49" t="s">
        <v>211</v>
      </c>
      <c r="B49" t="s">
        <v>36</v>
      </c>
      <c r="C49" t="s">
        <v>212</v>
      </c>
      <c r="D49" t="s">
        <v>29</v>
      </c>
      <c r="E49" t="s">
        <v>30</v>
      </c>
      <c r="F49" t="s">
        <v>29</v>
      </c>
      <c r="G49">
        <v>10.3</v>
      </c>
      <c r="H49" t="s">
        <v>26</v>
      </c>
      <c r="I49" t="s">
        <v>43</v>
      </c>
      <c r="J49" t="s">
        <v>50</v>
      </c>
      <c r="K49" t="s">
        <v>43</v>
      </c>
      <c r="L49" t="s">
        <v>44</v>
      </c>
      <c r="M49" t="s">
        <v>43</v>
      </c>
      <c r="N49" t="s">
        <v>51</v>
      </c>
      <c r="O49" t="s">
        <v>27</v>
      </c>
      <c r="P49" t="s">
        <v>26</v>
      </c>
      <c r="Q49" t="s">
        <v>213</v>
      </c>
      <c r="R49" t="s">
        <v>28</v>
      </c>
      <c r="S49" t="s">
        <v>213</v>
      </c>
      <c r="T49" t="s">
        <v>28</v>
      </c>
    </row>
    <row r="50" spans="1:20" x14ac:dyDescent="0.3">
      <c r="A50" t="s">
        <v>214</v>
      </c>
      <c r="B50" t="s">
        <v>36</v>
      </c>
      <c r="C50" t="s">
        <v>215</v>
      </c>
      <c r="D50" t="s">
        <v>29</v>
      </c>
      <c r="E50" t="s">
        <v>30</v>
      </c>
      <c r="F50" t="s">
        <v>29</v>
      </c>
      <c r="G50">
        <v>10.3</v>
      </c>
      <c r="H50" t="s">
        <v>26</v>
      </c>
      <c r="I50" t="s">
        <v>43</v>
      </c>
      <c r="J50" t="s">
        <v>50</v>
      </c>
      <c r="K50" t="s">
        <v>43</v>
      </c>
      <c r="L50" t="s">
        <v>44</v>
      </c>
      <c r="M50" t="s">
        <v>43</v>
      </c>
      <c r="N50" t="s">
        <v>51</v>
      </c>
      <c r="O50" t="s">
        <v>27</v>
      </c>
      <c r="P50" t="s">
        <v>26</v>
      </c>
      <c r="Q50" t="s">
        <v>216</v>
      </c>
      <c r="R50" t="s">
        <v>28</v>
      </c>
      <c r="S50" t="s">
        <v>217</v>
      </c>
      <c r="T50" t="s">
        <v>28</v>
      </c>
    </row>
    <row r="51" spans="1:20" x14ac:dyDescent="0.3">
      <c r="A51" t="s">
        <v>218</v>
      </c>
      <c r="B51" t="s">
        <v>36</v>
      </c>
      <c r="C51" t="s">
        <v>219</v>
      </c>
      <c r="D51" t="s">
        <v>29</v>
      </c>
      <c r="E51" t="s">
        <v>32</v>
      </c>
      <c r="F51" t="s">
        <v>29</v>
      </c>
      <c r="G51">
        <v>10.3</v>
      </c>
      <c r="H51" t="s">
        <v>26</v>
      </c>
      <c r="I51" t="s">
        <v>43</v>
      </c>
      <c r="J51" t="s">
        <v>44</v>
      </c>
      <c r="K51" t="s">
        <v>43</v>
      </c>
      <c r="L51" t="s">
        <v>44</v>
      </c>
      <c r="M51" t="s">
        <v>43</v>
      </c>
      <c r="N51" t="s">
        <v>45</v>
      </c>
      <c r="O51" t="s">
        <v>27</v>
      </c>
      <c r="P51" t="s">
        <v>26</v>
      </c>
      <c r="Q51" t="s">
        <v>220</v>
      </c>
      <c r="R51" t="s">
        <v>28</v>
      </c>
      <c r="S51" t="s">
        <v>221</v>
      </c>
      <c r="T51" t="s">
        <v>28</v>
      </c>
    </row>
    <row r="52" spans="1:20" x14ac:dyDescent="0.3">
      <c r="A52" t="s">
        <v>222</v>
      </c>
      <c r="B52" t="s">
        <v>36</v>
      </c>
      <c r="C52" t="s">
        <v>223</v>
      </c>
      <c r="D52" t="s">
        <v>29</v>
      </c>
      <c r="E52" t="s">
        <v>317</v>
      </c>
      <c r="F52" t="s">
        <v>29</v>
      </c>
      <c r="G52">
        <v>10.3</v>
      </c>
      <c r="H52" t="s">
        <v>26</v>
      </c>
      <c r="I52" t="s">
        <v>43</v>
      </c>
      <c r="J52" t="s">
        <v>43</v>
      </c>
      <c r="K52" t="s">
        <v>43</v>
      </c>
      <c r="L52" t="s">
        <v>44</v>
      </c>
      <c r="M52" t="s">
        <v>43</v>
      </c>
      <c r="N52" t="s">
        <v>44</v>
      </c>
      <c r="O52" t="s">
        <v>27</v>
      </c>
      <c r="P52" t="s">
        <v>341</v>
      </c>
      <c r="Q52" t="s">
        <v>224</v>
      </c>
      <c r="R52" t="s">
        <v>28</v>
      </c>
      <c r="S52" t="s">
        <v>225</v>
      </c>
      <c r="T52" t="s">
        <v>28</v>
      </c>
    </row>
    <row r="53" spans="1:20" x14ac:dyDescent="0.3">
      <c r="A53" t="s">
        <v>226</v>
      </c>
      <c r="B53" t="s">
        <v>36</v>
      </c>
      <c r="C53" t="s">
        <v>227</v>
      </c>
      <c r="D53" t="s">
        <v>29</v>
      </c>
      <c r="E53" t="s">
        <v>42</v>
      </c>
      <c r="F53" t="s">
        <v>29</v>
      </c>
      <c r="G53">
        <v>10.3</v>
      </c>
      <c r="H53" t="s">
        <v>26</v>
      </c>
      <c r="I53" t="s">
        <v>43</v>
      </c>
      <c r="J53" t="s">
        <v>44</v>
      </c>
      <c r="K53" t="s">
        <v>43</v>
      </c>
      <c r="L53" t="s">
        <v>44</v>
      </c>
      <c r="M53" t="s">
        <v>43</v>
      </c>
      <c r="N53" t="s">
        <v>45</v>
      </c>
      <c r="O53" t="s">
        <v>27</v>
      </c>
      <c r="P53" t="s">
        <v>26</v>
      </c>
      <c r="Q53" t="s">
        <v>228</v>
      </c>
      <c r="R53" t="s">
        <v>28</v>
      </c>
      <c r="S53" t="s">
        <v>229</v>
      </c>
      <c r="T53" t="s">
        <v>28</v>
      </c>
    </row>
    <row r="54" spans="1:20" x14ac:dyDescent="0.3">
      <c r="A54" t="s">
        <v>230</v>
      </c>
      <c r="B54" t="s">
        <v>36</v>
      </c>
      <c r="C54" t="s">
        <v>231</v>
      </c>
      <c r="D54" t="s">
        <v>29</v>
      </c>
      <c r="E54" t="s">
        <v>317</v>
      </c>
      <c r="F54" t="s">
        <v>29</v>
      </c>
      <c r="G54">
        <v>10.3</v>
      </c>
      <c r="H54" t="s">
        <v>26</v>
      </c>
      <c r="I54" t="s">
        <v>43</v>
      </c>
      <c r="J54" t="s">
        <v>43</v>
      </c>
      <c r="K54" t="s">
        <v>43</v>
      </c>
      <c r="L54" t="s">
        <v>44</v>
      </c>
      <c r="M54" t="s">
        <v>43</v>
      </c>
      <c r="N54" t="s">
        <v>44</v>
      </c>
      <c r="O54" t="s">
        <v>27</v>
      </c>
      <c r="P54" t="s">
        <v>341</v>
      </c>
      <c r="Q54" t="s">
        <v>232</v>
      </c>
      <c r="R54" t="s">
        <v>28</v>
      </c>
      <c r="S54" t="s">
        <v>233</v>
      </c>
      <c r="T54" t="s">
        <v>28</v>
      </c>
    </row>
    <row r="55" spans="1:20" x14ac:dyDescent="0.3">
      <c r="A55" t="s">
        <v>234</v>
      </c>
      <c r="B55" t="s">
        <v>36</v>
      </c>
      <c r="C55" t="s">
        <v>235</v>
      </c>
      <c r="D55" t="s">
        <v>29</v>
      </c>
      <c r="E55" t="s">
        <v>30</v>
      </c>
      <c r="F55" t="s">
        <v>29</v>
      </c>
      <c r="G55">
        <v>10.3</v>
      </c>
      <c r="H55" t="s">
        <v>26</v>
      </c>
      <c r="I55" t="s">
        <v>43</v>
      </c>
      <c r="J55" t="s">
        <v>50</v>
      </c>
      <c r="K55" t="s">
        <v>43</v>
      </c>
      <c r="L55" t="s">
        <v>44</v>
      </c>
      <c r="M55" t="s">
        <v>43</v>
      </c>
      <c r="N55" t="s">
        <v>51</v>
      </c>
      <c r="O55" t="s">
        <v>27</v>
      </c>
      <c r="P55" t="s">
        <v>26</v>
      </c>
      <c r="Q55" t="s">
        <v>236</v>
      </c>
      <c r="R55" t="s">
        <v>28</v>
      </c>
      <c r="S55" t="s">
        <v>237</v>
      </c>
      <c r="T55" t="s">
        <v>28</v>
      </c>
    </row>
    <row r="56" spans="1:20" x14ac:dyDescent="0.3">
      <c r="A56" t="s">
        <v>238</v>
      </c>
      <c r="B56" t="s">
        <v>36</v>
      </c>
      <c r="C56" t="s">
        <v>239</v>
      </c>
      <c r="D56" t="s">
        <v>29</v>
      </c>
      <c r="E56" t="s">
        <v>30</v>
      </c>
      <c r="F56" t="s">
        <v>29</v>
      </c>
      <c r="G56">
        <v>10.3</v>
      </c>
      <c r="H56" t="s">
        <v>26</v>
      </c>
      <c r="I56" t="s">
        <v>43</v>
      </c>
      <c r="J56" t="s">
        <v>50</v>
      </c>
      <c r="K56" t="s">
        <v>43</v>
      </c>
      <c r="L56" t="s">
        <v>44</v>
      </c>
      <c r="M56" t="s">
        <v>43</v>
      </c>
      <c r="N56" t="s">
        <v>51</v>
      </c>
      <c r="O56" t="s">
        <v>27</v>
      </c>
      <c r="P56" t="s">
        <v>26</v>
      </c>
      <c r="Q56" t="s">
        <v>236</v>
      </c>
      <c r="R56" t="s">
        <v>28</v>
      </c>
      <c r="S56" t="s">
        <v>240</v>
      </c>
      <c r="T56" t="s">
        <v>28</v>
      </c>
    </row>
    <row r="57" spans="1:20" x14ac:dyDescent="0.3">
      <c r="A57" t="s">
        <v>241</v>
      </c>
      <c r="B57" t="s">
        <v>36</v>
      </c>
      <c r="C57" t="s">
        <v>242</v>
      </c>
      <c r="D57" t="s">
        <v>29</v>
      </c>
      <c r="E57" t="s">
        <v>30</v>
      </c>
      <c r="F57" t="s">
        <v>29</v>
      </c>
      <c r="G57">
        <v>10.3</v>
      </c>
      <c r="H57" t="s">
        <v>26</v>
      </c>
      <c r="I57" t="s">
        <v>43</v>
      </c>
      <c r="J57" t="s">
        <v>50</v>
      </c>
      <c r="K57" t="s">
        <v>43</v>
      </c>
      <c r="L57" t="s">
        <v>44</v>
      </c>
      <c r="M57" t="s">
        <v>43</v>
      </c>
      <c r="N57" t="s">
        <v>51</v>
      </c>
      <c r="O57" t="s">
        <v>27</v>
      </c>
      <c r="P57" t="s">
        <v>26</v>
      </c>
      <c r="Q57" t="s">
        <v>37</v>
      </c>
      <c r="R57" t="s">
        <v>28</v>
      </c>
      <c r="S57" t="s">
        <v>243</v>
      </c>
      <c r="T57" t="s">
        <v>28</v>
      </c>
    </row>
    <row r="58" spans="1:20" x14ac:dyDescent="0.3">
      <c r="A58" t="s">
        <v>244</v>
      </c>
      <c r="B58" t="s">
        <v>36</v>
      </c>
      <c r="C58" t="s">
        <v>245</v>
      </c>
      <c r="D58" t="s">
        <v>29</v>
      </c>
      <c r="E58" t="s">
        <v>317</v>
      </c>
      <c r="F58" t="s">
        <v>29</v>
      </c>
      <c r="G58">
        <v>10.3</v>
      </c>
      <c r="H58" t="s">
        <v>26</v>
      </c>
      <c r="I58" t="s">
        <v>43</v>
      </c>
      <c r="J58" t="s">
        <v>43</v>
      </c>
      <c r="K58" t="s">
        <v>43</v>
      </c>
      <c r="L58" t="s">
        <v>44</v>
      </c>
      <c r="M58" t="s">
        <v>43</v>
      </c>
      <c r="N58" t="s">
        <v>44</v>
      </c>
      <c r="O58" t="s">
        <v>27</v>
      </c>
      <c r="P58" t="s">
        <v>341</v>
      </c>
      <c r="Q58" t="s">
        <v>246</v>
      </c>
      <c r="R58" t="s">
        <v>28</v>
      </c>
      <c r="S58" t="s">
        <v>247</v>
      </c>
      <c r="T58" t="s">
        <v>28</v>
      </c>
    </row>
    <row r="59" spans="1:20" x14ac:dyDescent="0.3">
      <c r="A59" t="s">
        <v>248</v>
      </c>
      <c r="B59" t="s">
        <v>36</v>
      </c>
      <c r="C59" t="s">
        <v>249</v>
      </c>
      <c r="D59" t="s">
        <v>29</v>
      </c>
      <c r="E59" t="s">
        <v>30</v>
      </c>
      <c r="F59" t="s">
        <v>29</v>
      </c>
      <c r="G59">
        <v>10.3</v>
      </c>
      <c r="H59" t="s">
        <v>26</v>
      </c>
      <c r="I59" t="s">
        <v>43</v>
      </c>
      <c r="J59" t="s">
        <v>50</v>
      </c>
      <c r="K59" t="s">
        <v>43</v>
      </c>
      <c r="L59" t="s">
        <v>44</v>
      </c>
      <c r="M59" t="s">
        <v>43</v>
      </c>
      <c r="N59" t="s">
        <v>51</v>
      </c>
      <c r="O59" t="s">
        <v>27</v>
      </c>
      <c r="P59" t="s">
        <v>26</v>
      </c>
      <c r="Q59" t="s">
        <v>250</v>
      </c>
      <c r="R59" t="s">
        <v>28</v>
      </c>
      <c r="S59" t="s">
        <v>251</v>
      </c>
      <c r="T59" t="s">
        <v>28</v>
      </c>
    </row>
    <row r="60" spans="1:20" x14ac:dyDescent="0.3">
      <c r="A60" t="s">
        <v>252</v>
      </c>
      <c r="B60" t="s">
        <v>36</v>
      </c>
      <c r="C60" t="s">
        <v>253</v>
      </c>
      <c r="D60" t="s">
        <v>29</v>
      </c>
      <c r="E60" t="s">
        <v>30</v>
      </c>
      <c r="F60" t="s">
        <v>29</v>
      </c>
      <c r="G60">
        <v>10.3</v>
      </c>
      <c r="H60" t="s">
        <v>26</v>
      </c>
      <c r="I60" t="s">
        <v>43</v>
      </c>
      <c r="J60" t="s">
        <v>50</v>
      </c>
      <c r="K60" t="s">
        <v>43</v>
      </c>
      <c r="L60" t="s">
        <v>44</v>
      </c>
      <c r="M60" t="s">
        <v>43</v>
      </c>
      <c r="N60" t="s">
        <v>51</v>
      </c>
      <c r="O60" t="s">
        <v>27</v>
      </c>
      <c r="P60" t="s">
        <v>26</v>
      </c>
      <c r="Q60" t="s">
        <v>254</v>
      </c>
      <c r="R60" t="s">
        <v>28</v>
      </c>
      <c r="S60" t="s">
        <v>255</v>
      </c>
      <c r="T60" t="s">
        <v>28</v>
      </c>
    </row>
    <row r="61" spans="1:20" x14ac:dyDescent="0.3">
      <c r="A61" t="s">
        <v>256</v>
      </c>
      <c r="B61" t="s">
        <v>36</v>
      </c>
      <c r="C61" t="s">
        <v>257</v>
      </c>
      <c r="D61" t="s">
        <v>29</v>
      </c>
      <c r="E61" t="s">
        <v>30</v>
      </c>
      <c r="F61" t="s">
        <v>29</v>
      </c>
      <c r="G61">
        <v>10.3</v>
      </c>
      <c r="H61" t="s">
        <v>26</v>
      </c>
      <c r="I61" t="s">
        <v>43</v>
      </c>
      <c r="J61" t="s">
        <v>50</v>
      </c>
      <c r="K61" t="s">
        <v>43</v>
      </c>
      <c r="L61" t="s">
        <v>44</v>
      </c>
      <c r="M61" t="s">
        <v>43</v>
      </c>
      <c r="N61" t="s">
        <v>51</v>
      </c>
      <c r="O61" t="s">
        <v>27</v>
      </c>
      <c r="P61" t="s">
        <v>26</v>
      </c>
      <c r="Q61" t="s">
        <v>258</v>
      </c>
      <c r="R61" t="s">
        <v>28</v>
      </c>
      <c r="S61" t="s">
        <v>259</v>
      </c>
      <c r="T61" t="s">
        <v>28</v>
      </c>
    </row>
    <row r="62" spans="1:20" x14ac:dyDescent="0.3">
      <c r="A62" t="s">
        <v>260</v>
      </c>
      <c r="B62" t="s">
        <v>36</v>
      </c>
      <c r="C62" t="s">
        <v>261</v>
      </c>
      <c r="D62" t="s">
        <v>29</v>
      </c>
      <c r="E62" t="s">
        <v>30</v>
      </c>
      <c r="F62" t="s">
        <v>29</v>
      </c>
      <c r="G62">
        <v>10.3</v>
      </c>
      <c r="H62" t="s">
        <v>26</v>
      </c>
      <c r="I62" t="s">
        <v>43</v>
      </c>
      <c r="J62" t="s">
        <v>50</v>
      </c>
      <c r="K62" t="s">
        <v>43</v>
      </c>
      <c r="L62" t="s">
        <v>44</v>
      </c>
      <c r="M62" t="s">
        <v>43</v>
      </c>
      <c r="N62" t="s">
        <v>51</v>
      </c>
      <c r="O62" t="s">
        <v>27</v>
      </c>
      <c r="P62" t="s">
        <v>26</v>
      </c>
      <c r="Q62" t="s">
        <v>262</v>
      </c>
      <c r="R62" t="s">
        <v>28</v>
      </c>
      <c r="S62" t="s">
        <v>263</v>
      </c>
      <c r="T62" t="s">
        <v>28</v>
      </c>
    </row>
    <row r="63" spans="1:20" x14ac:dyDescent="0.3">
      <c r="A63" t="s">
        <v>264</v>
      </c>
      <c r="B63" t="s">
        <v>38</v>
      </c>
      <c r="C63" t="s">
        <v>265</v>
      </c>
      <c r="D63" t="s">
        <v>29</v>
      </c>
      <c r="E63" t="s">
        <v>32</v>
      </c>
      <c r="F63" t="s">
        <v>29</v>
      </c>
      <c r="G63">
        <v>10.3</v>
      </c>
      <c r="H63" t="s">
        <v>26</v>
      </c>
      <c r="I63" t="s">
        <v>43</v>
      </c>
      <c r="J63" t="s">
        <v>44</v>
      </c>
      <c r="K63" t="s">
        <v>43</v>
      </c>
      <c r="L63" t="s">
        <v>44</v>
      </c>
      <c r="M63" t="s">
        <v>43</v>
      </c>
      <c r="N63" t="s">
        <v>45</v>
      </c>
      <c r="O63" t="s">
        <v>27</v>
      </c>
      <c r="P63" t="s">
        <v>26</v>
      </c>
      <c r="Q63" t="s">
        <v>266</v>
      </c>
      <c r="R63" t="s">
        <v>28</v>
      </c>
      <c r="S63" t="s">
        <v>267</v>
      </c>
      <c r="T63" t="s">
        <v>28</v>
      </c>
    </row>
    <row r="64" spans="1:20" x14ac:dyDescent="0.3">
      <c r="A64" t="s">
        <v>268</v>
      </c>
      <c r="B64" t="s">
        <v>38</v>
      </c>
      <c r="C64" t="s">
        <v>269</v>
      </c>
      <c r="D64" t="s">
        <v>29</v>
      </c>
      <c r="E64" t="s">
        <v>30</v>
      </c>
      <c r="F64" t="s">
        <v>29</v>
      </c>
      <c r="G64">
        <v>10.3</v>
      </c>
      <c r="H64" t="s">
        <v>26</v>
      </c>
      <c r="I64" t="s">
        <v>43</v>
      </c>
      <c r="J64" t="s">
        <v>50</v>
      </c>
      <c r="K64" t="s">
        <v>43</v>
      </c>
      <c r="L64" t="s">
        <v>44</v>
      </c>
      <c r="M64" t="s">
        <v>43</v>
      </c>
      <c r="N64" t="s">
        <v>51</v>
      </c>
      <c r="O64" t="s">
        <v>27</v>
      </c>
      <c r="P64" t="s">
        <v>26</v>
      </c>
      <c r="Q64" t="s">
        <v>270</v>
      </c>
      <c r="R64" t="s">
        <v>28</v>
      </c>
      <c r="S64" t="s">
        <v>271</v>
      </c>
      <c r="T64" t="s">
        <v>28</v>
      </c>
    </row>
    <row r="65" spans="1:20" x14ac:dyDescent="0.3">
      <c r="A65" t="s">
        <v>272</v>
      </c>
      <c r="B65" t="s">
        <v>38</v>
      </c>
      <c r="C65" t="s">
        <v>273</v>
      </c>
      <c r="D65" t="s">
        <v>29</v>
      </c>
      <c r="E65" t="s">
        <v>30</v>
      </c>
      <c r="F65" t="s">
        <v>29</v>
      </c>
      <c r="G65">
        <v>10.3</v>
      </c>
      <c r="H65" t="s">
        <v>26</v>
      </c>
      <c r="I65" t="s">
        <v>43</v>
      </c>
      <c r="J65" t="s">
        <v>50</v>
      </c>
      <c r="K65" t="s">
        <v>43</v>
      </c>
      <c r="L65" t="s">
        <v>44</v>
      </c>
      <c r="M65" t="s">
        <v>43</v>
      </c>
      <c r="N65" t="s">
        <v>51</v>
      </c>
      <c r="O65" t="s">
        <v>27</v>
      </c>
      <c r="P65" t="s">
        <v>26</v>
      </c>
      <c r="Q65" t="s">
        <v>39</v>
      </c>
      <c r="R65" t="s">
        <v>28</v>
      </c>
      <c r="S65" t="s">
        <v>39</v>
      </c>
      <c r="T65" t="s">
        <v>28</v>
      </c>
    </row>
    <row r="66" spans="1:20" x14ac:dyDescent="0.3">
      <c r="A66" t="s">
        <v>274</v>
      </c>
      <c r="B66" t="s">
        <v>38</v>
      </c>
      <c r="C66" t="s">
        <v>275</v>
      </c>
      <c r="D66" t="s">
        <v>29</v>
      </c>
      <c r="E66" t="s">
        <v>32</v>
      </c>
      <c r="F66" t="s">
        <v>29</v>
      </c>
      <c r="G66">
        <v>10.3</v>
      </c>
      <c r="H66" t="s">
        <v>26</v>
      </c>
      <c r="I66" t="s">
        <v>43</v>
      </c>
      <c r="J66" t="s">
        <v>44</v>
      </c>
      <c r="K66" t="s">
        <v>43</v>
      </c>
      <c r="L66" t="s">
        <v>44</v>
      </c>
      <c r="M66" t="s">
        <v>43</v>
      </c>
      <c r="N66" t="s">
        <v>45</v>
      </c>
      <c r="O66" t="s">
        <v>27</v>
      </c>
      <c r="P66" t="s">
        <v>26</v>
      </c>
      <c r="Q66" t="s">
        <v>276</v>
      </c>
      <c r="R66" t="s">
        <v>28</v>
      </c>
      <c r="S66" t="s">
        <v>277</v>
      </c>
      <c r="T66" t="s">
        <v>28</v>
      </c>
    </row>
    <row r="67" spans="1:20" x14ac:dyDescent="0.3">
      <c r="A67" t="s">
        <v>278</v>
      </c>
      <c r="B67" t="s">
        <v>38</v>
      </c>
      <c r="C67" t="s">
        <v>279</v>
      </c>
      <c r="D67" t="s">
        <v>29</v>
      </c>
      <c r="E67" t="s">
        <v>317</v>
      </c>
      <c r="F67" t="s">
        <v>29</v>
      </c>
      <c r="G67">
        <v>10.3</v>
      </c>
      <c r="H67" t="s">
        <v>26</v>
      </c>
      <c r="I67" t="s">
        <v>43</v>
      </c>
      <c r="J67" t="s">
        <v>43</v>
      </c>
      <c r="K67" t="s">
        <v>43</v>
      </c>
      <c r="L67" t="s">
        <v>44</v>
      </c>
      <c r="M67" t="s">
        <v>43</v>
      </c>
      <c r="N67" t="s">
        <v>44</v>
      </c>
      <c r="O67" t="s">
        <v>27</v>
      </c>
      <c r="P67" t="s">
        <v>338</v>
      </c>
      <c r="Q67" t="s">
        <v>280</v>
      </c>
      <c r="R67" t="s">
        <v>28</v>
      </c>
      <c r="S67" t="s">
        <v>281</v>
      </c>
      <c r="T67" t="s">
        <v>28</v>
      </c>
    </row>
    <row r="68" spans="1:20" x14ac:dyDescent="0.3">
      <c r="A68" t="s">
        <v>282</v>
      </c>
      <c r="B68" t="s">
        <v>38</v>
      </c>
      <c r="C68" t="s">
        <v>283</v>
      </c>
      <c r="D68" t="s">
        <v>29</v>
      </c>
      <c r="E68" t="s">
        <v>30</v>
      </c>
      <c r="F68" t="s">
        <v>29</v>
      </c>
      <c r="G68">
        <v>10.3</v>
      </c>
      <c r="H68" t="s">
        <v>26</v>
      </c>
      <c r="I68" t="s">
        <v>43</v>
      </c>
      <c r="J68" t="s">
        <v>50</v>
      </c>
      <c r="K68" t="s">
        <v>43</v>
      </c>
      <c r="L68" t="s">
        <v>44</v>
      </c>
      <c r="M68" t="s">
        <v>43</v>
      </c>
      <c r="N68" t="s">
        <v>51</v>
      </c>
      <c r="O68" t="s">
        <v>27</v>
      </c>
      <c r="P68" t="s">
        <v>26</v>
      </c>
      <c r="Q68" t="s">
        <v>284</v>
      </c>
      <c r="R68" t="s">
        <v>28</v>
      </c>
      <c r="S68" t="s">
        <v>285</v>
      </c>
      <c r="T68" t="s">
        <v>28</v>
      </c>
    </row>
    <row r="69" spans="1:20" x14ac:dyDescent="0.3">
      <c r="A69" t="s">
        <v>286</v>
      </c>
      <c r="B69" t="s">
        <v>38</v>
      </c>
      <c r="C69" t="s">
        <v>287</v>
      </c>
      <c r="D69" t="s">
        <v>29</v>
      </c>
      <c r="E69" t="s">
        <v>30</v>
      </c>
      <c r="F69" t="s">
        <v>29</v>
      </c>
      <c r="G69">
        <v>10.3</v>
      </c>
      <c r="H69" t="s">
        <v>26</v>
      </c>
      <c r="I69" t="s">
        <v>43</v>
      </c>
      <c r="J69" t="s">
        <v>50</v>
      </c>
      <c r="K69" t="s">
        <v>43</v>
      </c>
      <c r="L69" t="s">
        <v>44</v>
      </c>
      <c r="M69" t="s">
        <v>43</v>
      </c>
      <c r="N69" t="s">
        <v>51</v>
      </c>
      <c r="O69" t="s">
        <v>27</v>
      </c>
      <c r="P69" t="s">
        <v>26</v>
      </c>
      <c r="Q69" t="s">
        <v>288</v>
      </c>
      <c r="R69" t="s">
        <v>28</v>
      </c>
      <c r="S69" t="s">
        <v>289</v>
      </c>
      <c r="T69" t="s">
        <v>28</v>
      </c>
    </row>
    <row r="70" spans="1:20" x14ac:dyDescent="0.3">
      <c r="A70" t="s">
        <v>290</v>
      </c>
      <c r="B70" t="s">
        <v>38</v>
      </c>
      <c r="C70" t="s">
        <v>291</v>
      </c>
      <c r="D70" t="s">
        <v>29</v>
      </c>
      <c r="E70" t="s">
        <v>30</v>
      </c>
      <c r="F70" t="s">
        <v>29</v>
      </c>
      <c r="G70">
        <v>10.3</v>
      </c>
      <c r="H70" t="s">
        <v>26</v>
      </c>
      <c r="I70" t="s">
        <v>43</v>
      </c>
      <c r="J70" t="s">
        <v>50</v>
      </c>
      <c r="K70" t="s">
        <v>43</v>
      </c>
      <c r="L70" t="s">
        <v>44</v>
      </c>
      <c r="M70" t="s">
        <v>43</v>
      </c>
      <c r="N70" t="s">
        <v>51</v>
      </c>
      <c r="O70" t="s">
        <v>27</v>
      </c>
      <c r="P70" t="s">
        <v>26</v>
      </c>
      <c r="Q70" t="s">
        <v>292</v>
      </c>
      <c r="R70" t="s">
        <v>28</v>
      </c>
      <c r="S70" t="s">
        <v>293</v>
      </c>
      <c r="T70" t="s">
        <v>28</v>
      </c>
    </row>
    <row r="71" spans="1:20" x14ac:dyDescent="0.3">
      <c r="A71" t="s">
        <v>294</v>
      </c>
      <c r="B71" t="s">
        <v>38</v>
      </c>
      <c r="C71" t="s">
        <v>295</v>
      </c>
      <c r="D71" t="s">
        <v>29</v>
      </c>
      <c r="E71" t="s">
        <v>30</v>
      </c>
      <c r="F71" t="s">
        <v>29</v>
      </c>
      <c r="G71">
        <v>10.3</v>
      </c>
      <c r="H71" t="s">
        <v>26</v>
      </c>
      <c r="I71" t="s">
        <v>43</v>
      </c>
      <c r="J71" t="s">
        <v>43</v>
      </c>
      <c r="K71" t="s">
        <v>43</v>
      </c>
      <c r="L71" t="s">
        <v>44</v>
      </c>
      <c r="M71" t="s">
        <v>43</v>
      </c>
      <c r="N71" t="s">
        <v>44</v>
      </c>
      <c r="O71" t="s">
        <v>27</v>
      </c>
      <c r="P71" t="s">
        <v>341</v>
      </c>
      <c r="Q71" t="s">
        <v>292</v>
      </c>
      <c r="R71" t="s">
        <v>28</v>
      </c>
      <c r="S71" t="s">
        <v>296</v>
      </c>
      <c r="T71" t="s">
        <v>28</v>
      </c>
    </row>
    <row r="72" spans="1:20" x14ac:dyDescent="0.3">
      <c r="A72" t="s">
        <v>297</v>
      </c>
      <c r="B72" t="s">
        <v>38</v>
      </c>
      <c r="C72" t="s">
        <v>298</v>
      </c>
      <c r="D72" t="s">
        <v>29</v>
      </c>
      <c r="E72" t="s">
        <v>30</v>
      </c>
      <c r="F72" t="s">
        <v>29</v>
      </c>
      <c r="G72">
        <v>10.3</v>
      </c>
      <c r="H72" t="s">
        <v>26</v>
      </c>
      <c r="I72" t="s">
        <v>43</v>
      </c>
      <c r="J72" t="s">
        <v>50</v>
      </c>
      <c r="K72" t="s">
        <v>43</v>
      </c>
      <c r="L72" t="s">
        <v>44</v>
      </c>
      <c r="M72" t="s">
        <v>43</v>
      </c>
      <c r="N72" t="s">
        <v>51</v>
      </c>
      <c r="O72" t="s">
        <v>27</v>
      </c>
      <c r="P72" t="s">
        <v>26</v>
      </c>
      <c r="Q72" t="s">
        <v>299</v>
      </c>
      <c r="R72" t="s">
        <v>28</v>
      </c>
      <c r="S72" t="s">
        <v>300</v>
      </c>
      <c r="T72" t="s">
        <v>28</v>
      </c>
    </row>
    <row r="73" spans="1:20" x14ac:dyDescent="0.3">
      <c r="A73" t="s">
        <v>301</v>
      </c>
      <c r="B73" t="s">
        <v>38</v>
      </c>
      <c r="C73" t="s">
        <v>302</v>
      </c>
      <c r="D73" t="s">
        <v>29</v>
      </c>
      <c r="E73" t="s">
        <v>30</v>
      </c>
      <c r="F73" t="s">
        <v>29</v>
      </c>
      <c r="G73">
        <v>10.3</v>
      </c>
      <c r="H73" t="s">
        <v>26</v>
      </c>
      <c r="I73" t="s">
        <v>43</v>
      </c>
      <c r="J73" t="s">
        <v>50</v>
      </c>
      <c r="K73" t="s">
        <v>43</v>
      </c>
      <c r="L73" t="s">
        <v>44</v>
      </c>
      <c r="M73" t="s">
        <v>43</v>
      </c>
      <c r="N73" t="s">
        <v>51</v>
      </c>
      <c r="O73" t="s">
        <v>27</v>
      </c>
      <c r="P73" t="s">
        <v>26</v>
      </c>
      <c r="Q73" t="s">
        <v>303</v>
      </c>
      <c r="R73" t="s">
        <v>28</v>
      </c>
      <c r="S73" t="s">
        <v>304</v>
      </c>
      <c r="T73" t="s">
        <v>28</v>
      </c>
    </row>
    <row r="74" spans="1:20" x14ac:dyDescent="0.3">
      <c r="A74" t="s">
        <v>305</v>
      </c>
      <c r="B74" t="s">
        <v>38</v>
      </c>
      <c r="C74" t="s">
        <v>306</v>
      </c>
      <c r="D74" t="s">
        <v>29</v>
      </c>
      <c r="E74" t="s">
        <v>317</v>
      </c>
      <c r="F74" t="s">
        <v>29</v>
      </c>
      <c r="G74">
        <v>10.3</v>
      </c>
      <c r="H74" t="s">
        <v>26</v>
      </c>
      <c r="I74" t="s">
        <v>43</v>
      </c>
      <c r="J74" t="s">
        <v>50</v>
      </c>
      <c r="K74" t="s">
        <v>43</v>
      </c>
      <c r="L74" t="s">
        <v>44</v>
      </c>
      <c r="M74" t="s">
        <v>43</v>
      </c>
      <c r="N74" t="s">
        <v>51</v>
      </c>
      <c r="O74" t="s">
        <v>27</v>
      </c>
      <c r="P74" t="s">
        <v>26</v>
      </c>
      <c r="Q74" t="s">
        <v>307</v>
      </c>
      <c r="R74" t="s">
        <v>28</v>
      </c>
      <c r="S74" t="s">
        <v>308</v>
      </c>
      <c r="T74" t="s">
        <v>28</v>
      </c>
    </row>
    <row r="75" spans="1:20" x14ac:dyDescent="0.3">
      <c r="A75" t="s">
        <v>309</v>
      </c>
      <c r="B75" t="s">
        <v>38</v>
      </c>
      <c r="C75" t="s">
        <v>310</v>
      </c>
      <c r="D75" t="s">
        <v>29</v>
      </c>
      <c r="E75" t="s">
        <v>30</v>
      </c>
      <c r="F75" t="s">
        <v>29</v>
      </c>
      <c r="G75">
        <v>10.3</v>
      </c>
      <c r="H75" t="s">
        <v>26</v>
      </c>
      <c r="I75" t="s">
        <v>43</v>
      </c>
      <c r="J75" t="s">
        <v>50</v>
      </c>
      <c r="K75" t="s">
        <v>43</v>
      </c>
      <c r="L75" t="s">
        <v>44</v>
      </c>
      <c r="M75" t="s">
        <v>43</v>
      </c>
      <c r="N75" t="s">
        <v>51</v>
      </c>
      <c r="O75" t="s">
        <v>27</v>
      </c>
      <c r="P75" t="s">
        <v>26</v>
      </c>
      <c r="Q75" t="s">
        <v>311</v>
      </c>
      <c r="R75" t="s">
        <v>28</v>
      </c>
      <c r="S75" t="s">
        <v>311</v>
      </c>
      <c r="T75" t="s">
        <v>28</v>
      </c>
    </row>
    <row r="76" spans="1:20" x14ac:dyDescent="0.3">
      <c r="A76" t="s">
        <v>312</v>
      </c>
      <c r="B76" t="s">
        <v>38</v>
      </c>
      <c r="C76" t="s">
        <v>313</v>
      </c>
      <c r="D76" t="s">
        <v>29</v>
      </c>
      <c r="E76" t="s">
        <v>32</v>
      </c>
      <c r="F76" t="s">
        <v>29</v>
      </c>
      <c r="G76">
        <v>10.3</v>
      </c>
      <c r="H76" t="s">
        <v>26</v>
      </c>
      <c r="I76" t="s">
        <v>43</v>
      </c>
      <c r="J76" t="s">
        <v>44</v>
      </c>
      <c r="K76" t="s">
        <v>43</v>
      </c>
      <c r="L76" t="s">
        <v>44</v>
      </c>
      <c r="M76" t="s">
        <v>43</v>
      </c>
      <c r="N76" t="s">
        <v>45</v>
      </c>
      <c r="O76" t="s">
        <v>27</v>
      </c>
      <c r="P76" t="s">
        <v>26</v>
      </c>
      <c r="Q76" t="s">
        <v>314</v>
      </c>
      <c r="R76" t="s">
        <v>28</v>
      </c>
      <c r="S76" t="s">
        <v>315</v>
      </c>
      <c r="T76" t="s">
        <v>28</v>
      </c>
    </row>
  </sheetData>
  <phoneticPr fontId="2" type="noConversion"/>
  <pageMargins left="0.7" right="0.7" top="0.75" bottom="0.75" header="0.3" footer="0.3"/>
  <ignoredErrors>
    <ignoredError sqref="A1:T1 A3:T4 C2:T2 A6:F8 A5 H5:T5 H6:T8 A10:F11 A9:D9 F9 A13:F15 A12:C12 F12 A17:F17 A16:D16 F16 A19:F27 A18:D18 F18 A29:F37 A28:D28 F28 A39:F51 A38:D38 F38 A53:F53 A52:D52 F52 A55:F57 A54:D54 F54 A59:F66 A58:D58 F58 A68:F73 A67:D67 F67 A75:F76 A74:D74 F74 H10:T11 H9:O9 R9:T9 H13:T24 H12 Q12:T12 H26:T51 H25:R25 T25 H68:T70 H67:O67 Q67:T67 H53:T53 H52:O52 Q52:T52 H55:T57 H54:O54 Q54:T54 H59:T66 H58:O58 Q58:T58 H72:T76 H71:O71 Q71:T71 J12:M12 O12 C5:F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DE8B-E333-4E49-9A07-3FE7F358C03F}">
  <sheetPr>
    <pageSetUpPr fitToPage="1"/>
  </sheetPr>
  <dimension ref="A2:S80"/>
  <sheetViews>
    <sheetView view="pageBreakPreview" zoomScaleNormal="100" zoomScaleSheetLayoutView="100" workbookViewId="0">
      <selection activeCell="E5" sqref="E5:F5"/>
    </sheetView>
  </sheetViews>
  <sheetFormatPr defaultRowHeight="16.5" x14ac:dyDescent="0.3"/>
  <cols>
    <col min="1" max="2" width="8.88671875" style="3"/>
    <col min="3" max="3" width="10.33203125" style="8" customWidth="1"/>
    <col min="4" max="7" width="8.88671875" style="3"/>
    <col min="8" max="8" width="12.33203125" style="8" customWidth="1"/>
    <col min="9" max="12" width="8.88671875" style="3"/>
    <col min="13" max="13" width="12.33203125" style="8" customWidth="1"/>
    <col min="14" max="15" width="3.88671875" style="8" customWidth="1"/>
    <col min="16" max="16" width="10.33203125" style="8" customWidth="1"/>
    <col min="17" max="16384" width="8.88671875" style="3"/>
  </cols>
  <sheetData>
    <row r="2" spans="1:19" x14ac:dyDescent="0.3">
      <c r="A2" s="1" t="s">
        <v>318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9" ht="6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9" x14ac:dyDescent="0.3">
      <c r="A4" s="15" t="s">
        <v>319</v>
      </c>
      <c r="B4" s="14"/>
      <c r="C4" s="15" t="s">
        <v>320</v>
      </c>
      <c r="D4" s="14"/>
      <c r="E4" s="15" t="s">
        <v>321</v>
      </c>
      <c r="F4" s="14"/>
      <c r="G4" s="15" t="s">
        <v>322</v>
      </c>
      <c r="H4" s="13"/>
      <c r="I4" s="14"/>
      <c r="J4" s="15" t="s">
        <v>323</v>
      </c>
      <c r="K4" s="13"/>
      <c r="L4" s="14"/>
      <c r="M4" s="15" t="s">
        <v>324</v>
      </c>
      <c r="N4" s="13"/>
      <c r="O4" s="13"/>
      <c r="P4" s="14"/>
    </row>
    <row r="5" spans="1:19" x14ac:dyDescent="0.3">
      <c r="A5" s="15" t="s">
        <v>325</v>
      </c>
      <c r="B5" s="14"/>
      <c r="C5" s="15" t="str">
        <f>RawData!C2</f>
        <v>용인시</v>
      </c>
      <c r="D5" s="14"/>
      <c r="E5" s="15" t="s">
        <v>326</v>
      </c>
      <c r="F5" s="14"/>
      <c r="G5" s="15" t="s">
        <v>327</v>
      </c>
      <c r="H5" s="13"/>
      <c r="I5" s="14"/>
      <c r="J5" s="15" t="str">
        <f>[1]RawData!B2</f>
        <v>경기철도㈜</v>
      </c>
      <c r="K5" s="13"/>
      <c r="L5" s="14"/>
      <c r="M5" s="15" t="s">
        <v>328</v>
      </c>
      <c r="N5" s="13"/>
      <c r="O5" s="13"/>
      <c r="P5" s="14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9" x14ac:dyDescent="0.3">
      <c r="A7" s="10" t="s">
        <v>4</v>
      </c>
      <c r="B7" s="10" t="s">
        <v>5</v>
      </c>
      <c r="C7" s="10" t="s">
        <v>6</v>
      </c>
      <c r="D7" s="12" t="s">
        <v>329</v>
      </c>
      <c r="E7" s="13"/>
      <c r="F7" s="13"/>
      <c r="G7" s="13"/>
      <c r="H7" s="14"/>
      <c r="I7" s="12" t="s">
        <v>330</v>
      </c>
      <c r="J7" s="13"/>
      <c r="K7" s="13"/>
      <c r="L7" s="13"/>
      <c r="M7" s="14"/>
      <c r="N7" s="10" t="s">
        <v>17</v>
      </c>
      <c r="O7" s="10" t="s">
        <v>18</v>
      </c>
      <c r="P7" s="10" t="s">
        <v>331</v>
      </c>
    </row>
    <row r="8" spans="1:19" s="5" customFormat="1" ht="24.75" customHeight="1" x14ac:dyDescent="0.3">
      <c r="A8" s="11"/>
      <c r="B8" s="11"/>
      <c r="C8" s="11"/>
      <c r="D8" s="4" t="s">
        <v>7</v>
      </c>
      <c r="E8" s="4" t="s">
        <v>8</v>
      </c>
      <c r="F8" s="4" t="s">
        <v>9</v>
      </c>
      <c r="G8" s="4" t="s">
        <v>10</v>
      </c>
      <c r="H8" s="4" t="s">
        <v>332</v>
      </c>
      <c r="I8" s="4" t="s">
        <v>333</v>
      </c>
      <c r="J8" s="4" t="s">
        <v>8</v>
      </c>
      <c r="K8" s="4" t="s">
        <v>9</v>
      </c>
      <c r="L8" s="4" t="s">
        <v>334</v>
      </c>
      <c r="M8" s="4" t="s">
        <v>16</v>
      </c>
      <c r="N8" s="11"/>
      <c r="O8" s="11"/>
      <c r="P8" s="11"/>
      <c r="Q8" s="3"/>
      <c r="R8" s="3"/>
      <c r="S8" s="3"/>
    </row>
    <row r="9" spans="1:19" x14ac:dyDescent="0.3">
      <c r="A9" s="6" t="str">
        <f>RIGHT(RawData!A5,2)</f>
        <v>01</v>
      </c>
      <c r="B9" s="6" t="str">
        <f>RawData!B5</f>
        <v>신수로</v>
      </c>
      <c r="C9" s="6" t="str">
        <f>RawData!C5</f>
        <v>26-용인시-01</v>
      </c>
      <c r="D9" s="6" t="str">
        <f>RawData!D5</f>
        <v>양호</v>
      </c>
      <c r="E9" s="6" t="str">
        <f>RawData!E5</f>
        <v>종횡균열</v>
      </c>
      <c r="F9" s="6" t="str">
        <f>RawData!F5</f>
        <v>양호</v>
      </c>
      <c r="G9" s="6">
        <f>RawData!G5</f>
        <v>10.3</v>
      </c>
      <c r="H9" s="6" t="str">
        <f>RawData!H5</f>
        <v>-</v>
      </c>
      <c r="I9" s="6">
        <f>IF(D9="양호",0,IF(D9="보통",3,IF(D9="불량",9)))</f>
        <v>0</v>
      </c>
      <c r="J9" s="6">
        <f t="shared" ref="J9:J33" si="0">IF(E9="거북등",3,IF(RIGHT(E9,2)="균열",1,IF(E9="-",0)))</f>
        <v>1</v>
      </c>
      <c r="K9" s="6">
        <f t="shared" ref="K9:K33" si="1">IF(F9="유출",9,IF(F9="습윤",1,IF(F9="양호",0,IF(F9="건조",0))))</f>
        <v>0</v>
      </c>
      <c r="L9" s="6">
        <f>IF(G9&gt;=30,2,IF(G9&gt;=10,1,0))</f>
        <v>1</v>
      </c>
      <c r="M9" s="6">
        <f t="shared" ref="M9:M33" si="2">IF(H9="-",0,1)</f>
        <v>0</v>
      </c>
      <c r="N9" s="6">
        <f t="shared" ref="N9:N33" si="3">SUM(I9:M9)</f>
        <v>2</v>
      </c>
      <c r="O9" s="6" t="str">
        <f t="shared" ref="O9:O33" si="4">IF(N9&lt;6,"일반",IF(N9&lt;9,"우선",IF(N9&gt;=9,"긴급")))</f>
        <v>일반</v>
      </c>
      <c r="P9" s="7" t="str">
        <f>RawData!P5</f>
        <v>-</v>
      </c>
    </row>
    <row r="10" spans="1:19" x14ac:dyDescent="0.3">
      <c r="A10" s="6" t="str">
        <f>RIGHT(RawData!A6,2)</f>
        <v>02</v>
      </c>
      <c r="B10" s="6" t="str">
        <f>RawData!B6</f>
        <v>신수로</v>
      </c>
      <c r="C10" s="6" t="str">
        <f>RawData!C6</f>
        <v>26-용인시-02</v>
      </c>
      <c r="D10" s="6" t="str">
        <f>RawData!D6</f>
        <v>양호</v>
      </c>
      <c r="E10" s="6" t="str">
        <f>RawData!E6</f>
        <v>거북등</v>
      </c>
      <c r="F10" s="6" t="str">
        <f>RawData!F6</f>
        <v>양호</v>
      </c>
      <c r="G10" s="6">
        <f>RawData!G6</f>
        <v>10.3</v>
      </c>
      <c r="H10" s="6" t="str">
        <f>RawData!H6</f>
        <v>-</v>
      </c>
      <c r="I10" s="6">
        <f t="shared" ref="I10:I33" si="5">IF(D10="양호",0,IF(D10="보통",3,IF(D10="불량",9)))</f>
        <v>0</v>
      </c>
      <c r="J10" s="6">
        <f t="shared" si="0"/>
        <v>3</v>
      </c>
      <c r="K10" s="6">
        <f t="shared" si="1"/>
        <v>0</v>
      </c>
      <c r="L10" s="6">
        <f t="shared" ref="L10:L33" si="6">IF(G10&gt;=30,2,IF(G10&gt;=10,1,0))</f>
        <v>1</v>
      </c>
      <c r="M10" s="6">
        <f t="shared" si="2"/>
        <v>0</v>
      </c>
      <c r="N10" s="6">
        <f t="shared" si="3"/>
        <v>4</v>
      </c>
      <c r="O10" s="6" t="str">
        <f t="shared" si="4"/>
        <v>일반</v>
      </c>
      <c r="P10" s="7" t="str">
        <f>RawData!P6</f>
        <v>-</v>
      </c>
    </row>
    <row r="11" spans="1:19" x14ac:dyDescent="0.3">
      <c r="A11" s="6" t="str">
        <f>RIGHT(RawData!A7,2)</f>
        <v>03</v>
      </c>
      <c r="B11" s="6" t="str">
        <f>RawData!B7</f>
        <v>신수로</v>
      </c>
      <c r="C11" s="6" t="str">
        <f>RawData!C7</f>
        <v>26-용인시-03</v>
      </c>
      <c r="D11" s="6" t="str">
        <f>RawData!D7</f>
        <v>보통</v>
      </c>
      <c r="E11" s="6" t="str">
        <f>RawData!E7</f>
        <v>종횡균열</v>
      </c>
      <c r="F11" s="6" t="str">
        <f>RawData!F7</f>
        <v>양호</v>
      </c>
      <c r="G11" s="6">
        <f>RawData!G7</f>
        <v>10.3</v>
      </c>
      <c r="H11" s="6" t="str">
        <f>RawData!H7</f>
        <v>-</v>
      </c>
      <c r="I11" s="6">
        <f t="shared" si="5"/>
        <v>3</v>
      </c>
      <c r="J11" s="6">
        <f t="shared" si="0"/>
        <v>1</v>
      </c>
      <c r="K11" s="6">
        <f t="shared" si="1"/>
        <v>0</v>
      </c>
      <c r="L11" s="6">
        <f t="shared" si="6"/>
        <v>1</v>
      </c>
      <c r="M11" s="6">
        <f t="shared" si="2"/>
        <v>0</v>
      </c>
      <c r="N11" s="6">
        <f t="shared" si="3"/>
        <v>5</v>
      </c>
      <c r="O11" s="6" t="str">
        <f t="shared" si="4"/>
        <v>일반</v>
      </c>
      <c r="P11" s="7" t="str">
        <f>RawData!P7</f>
        <v>7cm 침하</v>
      </c>
    </row>
    <row r="12" spans="1:19" x14ac:dyDescent="0.3">
      <c r="A12" s="6" t="str">
        <f>RIGHT(RawData!A8,2)</f>
        <v>04</v>
      </c>
      <c r="B12" s="6" t="str">
        <f>RawData!B8</f>
        <v>신수로</v>
      </c>
      <c r="C12" s="6" t="str">
        <f>RawData!C8</f>
        <v>26-용인시-04</v>
      </c>
      <c r="D12" s="6" t="str">
        <f>RawData!D8</f>
        <v>양호</v>
      </c>
      <c r="E12" s="6" t="str">
        <f>RawData!E8</f>
        <v>거북등</v>
      </c>
      <c r="F12" s="6" t="str">
        <f>RawData!F8</f>
        <v>양호</v>
      </c>
      <c r="G12" s="6">
        <f>RawData!G8</f>
        <v>10.3</v>
      </c>
      <c r="H12" s="6" t="str">
        <f>RawData!H8</f>
        <v>-</v>
      </c>
      <c r="I12" s="6">
        <f t="shared" si="5"/>
        <v>0</v>
      </c>
      <c r="J12" s="6">
        <f t="shared" si="0"/>
        <v>3</v>
      </c>
      <c r="K12" s="6">
        <f t="shared" si="1"/>
        <v>0</v>
      </c>
      <c r="L12" s="6">
        <f t="shared" si="6"/>
        <v>1</v>
      </c>
      <c r="M12" s="6">
        <f t="shared" si="2"/>
        <v>0</v>
      </c>
      <c r="N12" s="6">
        <f t="shared" si="3"/>
        <v>4</v>
      </c>
      <c r="O12" s="6" t="str">
        <f t="shared" si="4"/>
        <v>일반</v>
      </c>
      <c r="P12" s="7" t="str">
        <f>RawData!P8</f>
        <v>-</v>
      </c>
    </row>
    <row r="13" spans="1:19" x14ac:dyDescent="0.3">
      <c r="A13" s="6" t="str">
        <f>RIGHT(RawData!A9,2)</f>
        <v>05</v>
      </c>
      <c r="B13" s="6" t="str">
        <f>RawData!B9</f>
        <v>신수로</v>
      </c>
      <c r="C13" s="6" t="str">
        <f>RawData!C9</f>
        <v>26-용인시-05</v>
      </c>
      <c r="D13" s="6" t="str">
        <f>RawData!D9</f>
        <v>양호</v>
      </c>
      <c r="E13" s="6" t="str">
        <f>RawData!E9</f>
        <v>-</v>
      </c>
      <c r="F13" s="6" t="str">
        <f>RawData!F9</f>
        <v>양호</v>
      </c>
      <c r="G13" s="6">
        <f>RawData!G9</f>
        <v>10.3</v>
      </c>
      <c r="H13" s="6" t="str">
        <f>RawData!H9</f>
        <v>-</v>
      </c>
      <c r="I13" s="6">
        <f t="shared" si="5"/>
        <v>0</v>
      </c>
      <c r="J13" s="6">
        <f t="shared" si="0"/>
        <v>0</v>
      </c>
      <c r="K13" s="6">
        <f t="shared" si="1"/>
        <v>0</v>
      </c>
      <c r="L13" s="6">
        <f t="shared" si="6"/>
        <v>1</v>
      </c>
      <c r="M13" s="6">
        <f t="shared" si="2"/>
        <v>0</v>
      </c>
      <c r="N13" s="6">
        <f t="shared" si="3"/>
        <v>1</v>
      </c>
      <c r="O13" s="6" t="str">
        <f t="shared" si="4"/>
        <v>일반</v>
      </c>
      <c r="P13" s="7" t="str">
        <f>RawData!P9</f>
        <v>5cm 보도침하</v>
      </c>
    </row>
    <row r="14" spans="1:19" x14ac:dyDescent="0.3">
      <c r="A14" s="6" t="str">
        <f>RIGHT(RawData!A10,2)</f>
        <v>06</v>
      </c>
      <c r="B14" s="6" t="str">
        <f>RawData!B10</f>
        <v>신수로</v>
      </c>
      <c r="C14" s="6" t="str">
        <f>RawData!C10</f>
        <v>26-용인시-06</v>
      </c>
      <c r="D14" s="6" t="str">
        <f>RawData!D10</f>
        <v>양호</v>
      </c>
      <c r="E14" s="6" t="str">
        <f>RawData!E10</f>
        <v>종균열</v>
      </c>
      <c r="F14" s="6" t="str">
        <f>RawData!F10</f>
        <v>양호</v>
      </c>
      <c r="G14" s="6">
        <f>RawData!G10</f>
        <v>10.3</v>
      </c>
      <c r="H14" s="6" t="str">
        <f>RawData!H10</f>
        <v>-</v>
      </c>
      <c r="I14" s="6">
        <f t="shared" si="5"/>
        <v>0</v>
      </c>
      <c r="J14" s="6">
        <f t="shared" si="0"/>
        <v>1</v>
      </c>
      <c r="K14" s="6">
        <f t="shared" si="1"/>
        <v>0</v>
      </c>
      <c r="L14" s="6">
        <f t="shared" si="6"/>
        <v>1</v>
      </c>
      <c r="M14" s="6">
        <f t="shared" si="2"/>
        <v>0</v>
      </c>
      <c r="N14" s="6">
        <f t="shared" si="3"/>
        <v>2</v>
      </c>
      <c r="O14" s="6" t="str">
        <f t="shared" si="4"/>
        <v>일반</v>
      </c>
      <c r="P14" s="7" t="str">
        <f>RawData!P10</f>
        <v>-</v>
      </c>
    </row>
    <row r="15" spans="1:19" x14ac:dyDescent="0.3">
      <c r="A15" s="6" t="str">
        <f>RIGHT(RawData!A11,2)</f>
        <v>07</v>
      </c>
      <c r="B15" s="6" t="str">
        <f>RawData!B11</f>
        <v>신수로</v>
      </c>
      <c r="C15" s="6" t="str">
        <f>RawData!C11</f>
        <v>26-용인시-07</v>
      </c>
      <c r="D15" s="6" t="str">
        <f>RawData!D11</f>
        <v>양호</v>
      </c>
      <c r="E15" s="6" t="str">
        <f>RawData!E11</f>
        <v>거북등</v>
      </c>
      <c r="F15" s="6" t="str">
        <f>RawData!F11</f>
        <v>양호</v>
      </c>
      <c r="G15" s="6">
        <f>RawData!G11</f>
        <v>10.3</v>
      </c>
      <c r="H15" s="6" t="str">
        <f>RawData!H11</f>
        <v>-</v>
      </c>
      <c r="I15" s="6">
        <f t="shared" si="5"/>
        <v>0</v>
      </c>
      <c r="J15" s="6">
        <f t="shared" si="0"/>
        <v>3</v>
      </c>
      <c r="K15" s="6">
        <f t="shared" si="1"/>
        <v>0</v>
      </c>
      <c r="L15" s="6">
        <f t="shared" si="6"/>
        <v>1</v>
      </c>
      <c r="M15" s="6">
        <f t="shared" si="2"/>
        <v>0</v>
      </c>
      <c r="N15" s="6">
        <f t="shared" si="3"/>
        <v>4</v>
      </c>
      <c r="O15" s="6" t="str">
        <f t="shared" si="4"/>
        <v>일반</v>
      </c>
      <c r="P15" s="7" t="str">
        <f>RawData!P11</f>
        <v>-</v>
      </c>
    </row>
    <row r="16" spans="1:19" x14ac:dyDescent="0.3">
      <c r="A16" s="6" t="str">
        <f>RIGHT(RawData!A12,2)</f>
        <v>08</v>
      </c>
      <c r="B16" s="6" t="str">
        <f>RawData!B12</f>
        <v>신수로</v>
      </c>
      <c r="C16" s="6" t="str">
        <f>RawData!C12</f>
        <v>26-용인시-08</v>
      </c>
      <c r="D16" s="6" t="str">
        <f>RawData!D12</f>
        <v>보통</v>
      </c>
      <c r="E16" s="6" t="str">
        <f>RawData!E12</f>
        <v>-</v>
      </c>
      <c r="F16" s="6" t="str">
        <f>RawData!F12</f>
        <v>양호</v>
      </c>
      <c r="G16" s="6">
        <f>RawData!G12</f>
        <v>10.3</v>
      </c>
      <c r="H16" s="6" t="str">
        <f>RawData!H12</f>
        <v>-</v>
      </c>
      <c r="I16" s="6">
        <f t="shared" si="5"/>
        <v>3</v>
      </c>
      <c r="J16" s="6">
        <f t="shared" si="0"/>
        <v>0</v>
      </c>
      <c r="K16" s="6">
        <f t="shared" si="1"/>
        <v>0</v>
      </c>
      <c r="L16" s="6">
        <f t="shared" si="6"/>
        <v>1</v>
      </c>
      <c r="M16" s="6">
        <f t="shared" si="2"/>
        <v>0</v>
      </c>
      <c r="N16" s="6">
        <f t="shared" si="3"/>
        <v>4</v>
      </c>
      <c r="O16" s="6" t="str">
        <f t="shared" si="4"/>
        <v>일반</v>
      </c>
      <c r="P16" s="7" t="str">
        <f>RawData!P12</f>
        <v>7~9cm 보도침하</v>
      </c>
    </row>
    <row r="17" spans="1:16" x14ac:dyDescent="0.3">
      <c r="A17" s="6" t="str">
        <f>RIGHT(RawData!A13,2)</f>
        <v>09</v>
      </c>
      <c r="B17" s="6" t="str">
        <f>RawData!B13</f>
        <v>신수로</v>
      </c>
      <c r="C17" s="6" t="str">
        <f>RawData!C13</f>
        <v>26-용인시-09</v>
      </c>
      <c r="D17" s="6" t="str">
        <f>RawData!D13</f>
        <v>양호</v>
      </c>
      <c r="E17" s="6" t="str">
        <f>RawData!E13</f>
        <v>종횡균열</v>
      </c>
      <c r="F17" s="6" t="str">
        <f>RawData!F13</f>
        <v>양호</v>
      </c>
      <c r="G17" s="6">
        <f>RawData!G13</f>
        <v>10.3</v>
      </c>
      <c r="H17" s="6" t="str">
        <f>RawData!H13</f>
        <v>-</v>
      </c>
      <c r="I17" s="6">
        <f t="shared" si="5"/>
        <v>0</v>
      </c>
      <c r="J17" s="6">
        <f t="shared" si="0"/>
        <v>1</v>
      </c>
      <c r="K17" s="6">
        <f t="shared" si="1"/>
        <v>0</v>
      </c>
      <c r="L17" s="6">
        <f t="shared" si="6"/>
        <v>1</v>
      </c>
      <c r="M17" s="6">
        <f t="shared" si="2"/>
        <v>0</v>
      </c>
      <c r="N17" s="6">
        <f t="shared" si="3"/>
        <v>2</v>
      </c>
      <c r="O17" s="6" t="str">
        <f t="shared" si="4"/>
        <v>일반</v>
      </c>
      <c r="P17" s="7" t="str">
        <f>RawData!P13</f>
        <v>-</v>
      </c>
    </row>
    <row r="18" spans="1:16" x14ac:dyDescent="0.3">
      <c r="A18" s="6" t="str">
        <f>RIGHT(RawData!A14,2)</f>
        <v>10</v>
      </c>
      <c r="B18" s="6" t="str">
        <f>RawData!B14</f>
        <v>신수로</v>
      </c>
      <c r="C18" s="6" t="str">
        <f>RawData!C14</f>
        <v>26-용인시-10</v>
      </c>
      <c r="D18" s="6" t="str">
        <f>RawData!D14</f>
        <v>양호</v>
      </c>
      <c r="E18" s="6" t="str">
        <f>RawData!E14</f>
        <v>거북등</v>
      </c>
      <c r="F18" s="6" t="str">
        <f>RawData!F14</f>
        <v>양호</v>
      </c>
      <c r="G18" s="6">
        <f>RawData!G14</f>
        <v>10.3</v>
      </c>
      <c r="H18" s="6" t="str">
        <f>RawData!H14</f>
        <v>-</v>
      </c>
      <c r="I18" s="6">
        <f t="shared" si="5"/>
        <v>0</v>
      </c>
      <c r="J18" s="6">
        <f t="shared" si="0"/>
        <v>3</v>
      </c>
      <c r="K18" s="6">
        <f t="shared" si="1"/>
        <v>0</v>
      </c>
      <c r="L18" s="6">
        <f t="shared" si="6"/>
        <v>1</v>
      </c>
      <c r="M18" s="6">
        <f t="shared" si="2"/>
        <v>0</v>
      </c>
      <c r="N18" s="6">
        <f t="shared" si="3"/>
        <v>4</v>
      </c>
      <c r="O18" s="6" t="str">
        <f t="shared" si="4"/>
        <v>일반</v>
      </c>
      <c r="P18" s="7" t="str">
        <f>RawData!P14</f>
        <v>-</v>
      </c>
    </row>
    <row r="19" spans="1:16" x14ac:dyDescent="0.3">
      <c r="A19" s="6" t="str">
        <f>RIGHT(RawData!A15,2)</f>
        <v>11</v>
      </c>
      <c r="B19" s="6" t="str">
        <f>RawData!B15</f>
        <v>신수로</v>
      </c>
      <c r="C19" s="6" t="str">
        <f>RawData!C15</f>
        <v>26-용인시-11</v>
      </c>
      <c r="D19" s="6" t="str">
        <f>RawData!D15</f>
        <v>양호</v>
      </c>
      <c r="E19" s="6" t="str">
        <f>RawData!E15</f>
        <v>거북등</v>
      </c>
      <c r="F19" s="6" t="str">
        <f>RawData!F15</f>
        <v>양호</v>
      </c>
      <c r="G19" s="6">
        <f>RawData!G15</f>
        <v>10.3</v>
      </c>
      <c r="H19" s="6" t="str">
        <f>RawData!H15</f>
        <v>-</v>
      </c>
      <c r="I19" s="6">
        <f t="shared" si="5"/>
        <v>0</v>
      </c>
      <c r="J19" s="6">
        <f t="shared" si="0"/>
        <v>3</v>
      </c>
      <c r="K19" s="6">
        <f t="shared" si="1"/>
        <v>0</v>
      </c>
      <c r="L19" s="6">
        <f t="shared" si="6"/>
        <v>1</v>
      </c>
      <c r="M19" s="6">
        <f t="shared" si="2"/>
        <v>0</v>
      </c>
      <c r="N19" s="6">
        <f t="shared" si="3"/>
        <v>4</v>
      </c>
      <c r="O19" s="6" t="str">
        <f t="shared" si="4"/>
        <v>일반</v>
      </c>
      <c r="P19" s="7" t="str">
        <f>RawData!P15</f>
        <v>-</v>
      </c>
    </row>
    <row r="20" spans="1:16" x14ac:dyDescent="0.3">
      <c r="A20" s="6" t="str">
        <f>RIGHT(RawData!A16,2)</f>
        <v>12</v>
      </c>
      <c r="B20" s="6" t="str">
        <f>RawData!B16</f>
        <v>풍덕천로</v>
      </c>
      <c r="C20" s="6" t="str">
        <f>RawData!C16</f>
        <v>26-용인시-12</v>
      </c>
      <c r="D20" s="6" t="str">
        <f>RawData!D16</f>
        <v>양호</v>
      </c>
      <c r="E20" s="6" t="str">
        <f>RawData!E16</f>
        <v>-</v>
      </c>
      <c r="F20" s="6" t="str">
        <f>RawData!F16</f>
        <v>양호</v>
      </c>
      <c r="G20" s="6">
        <f>RawData!G16</f>
        <v>10.3</v>
      </c>
      <c r="H20" s="6" t="str">
        <f>RawData!H16</f>
        <v>-</v>
      </c>
      <c r="I20" s="6">
        <f t="shared" si="5"/>
        <v>0</v>
      </c>
      <c r="J20" s="6">
        <f t="shared" si="0"/>
        <v>0</v>
      </c>
      <c r="K20" s="6">
        <f t="shared" si="1"/>
        <v>0</v>
      </c>
      <c r="L20" s="6">
        <f t="shared" si="6"/>
        <v>1</v>
      </c>
      <c r="M20" s="6">
        <f t="shared" si="2"/>
        <v>0</v>
      </c>
      <c r="N20" s="6">
        <f t="shared" si="3"/>
        <v>1</v>
      </c>
      <c r="O20" s="6" t="str">
        <f t="shared" si="4"/>
        <v>일반</v>
      </c>
      <c r="P20" s="7" t="str">
        <f>RawData!P16</f>
        <v>5cm이하 침하</v>
      </c>
    </row>
    <row r="21" spans="1:16" x14ac:dyDescent="0.3">
      <c r="A21" s="6" t="str">
        <f>RIGHT(RawData!A17,2)</f>
        <v>13</v>
      </c>
      <c r="B21" s="6" t="str">
        <f>RawData!B17</f>
        <v>풍덕천로</v>
      </c>
      <c r="C21" s="6" t="str">
        <f>RawData!C17</f>
        <v>26-용인시-13</v>
      </c>
      <c r="D21" s="6" t="str">
        <f>RawData!D17</f>
        <v>양호</v>
      </c>
      <c r="E21" s="6" t="str">
        <f>RawData!E17</f>
        <v>거북등</v>
      </c>
      <c r="F21" s="6" t="str">
        <f>RawData!F17</f>
        <v>양호</v>
      </c>
      <c r="G21" s="6">
        <f>RawData!G17</f>
        <v>10.3</v>
      </c>
      <c r="H21" s="6" t="str">
        <f>RawData!H17</f>
        <v>-</v>
      </c>
      <c r="I21" s="6">
        <f t="shared" si="5"/>
        <v>0</v>
      </c>
      <c r="J21" s="6">
        <f t="shared" si="0"/>
        <v>3</v>
      </c>
      <c r="K21" s="6">
        <f t="shared" si="1"/>
        <v>0</v>
      </c>
      <c r="L21" s="6">
        <f t="shared" si="6"/>
        <v>1</v>
      </c>
      <c r="M21" s="6">
        <f t="shared" si="2"/>
        <v>0</v>
      </c>
      <c r="N21" s="6">
        <f t="shared" si="3"/>
        <v>4</v>
      </c>
      <c r="O21" s="6" t="str">
        <f t="shared" si="4"/>
        <v>일반</v>
      </c>
      <c r="P21" s="7" t="str">
        <f>RawData!P17</f>
        <v>-</v>
      </c>
    </row>
    <row r="22" spans="1:16" x14ac:dyDescent="0.3">
      <c r="A22" s="6" t="str">
        <f>RIGHT(RawData!A18,2)</f>
        <v>14</v>
      </c>
      <c r="B22" s="6" t="str">
        <f>RawData!B18</f>
        <v>풍덕천로</v>
      </c>
      <c r="C22" s="6" t="str">
        <f>RawData!C18</f>
        <v>26-용인시-14</v>
      </c>
      <c r="D22" s="6" t="str">
        <f>RawData!D18</f>
        <v>양호</v>
      </c>
      <c r="E22" s="6" t="str">
        <f>RawData!E18</f>
        <v>-</v>
      </c>
      <c r="F22" s="6" t="str">
        <f>RawData!F18</f>
        <v>양호</v>
      </c>
      <c r="G22" s="6">
        <f>RawData!G18</f>
        <v>10.3</v>
      </c>
      <c r="H22" s="6" t="str">
        <f>RawData!H18</f>
        <v>-</v>
      </c>
      <c r="I22" s="6">
        <f t="shared" si="5"/>
        <v>0</v>
      </c>
      <c r="J22" s="6">
        <f t="shared" si="0"/>
        <v>0</v>
      </c>
      <c r="K22" s="6">
        <f t="shared" si="1"/>
        <v>0</v>
      </c>
      <c r="L22" s="6">
        <f t="shared" si="6"/>
        <v>1</v>
      </c>
      <c r="M22" s="6">
        <f t="shared" si="2"/>
        <v>0</v>
      </c>
      <c r="N22" s="6">
        <f t="shared" si="3"/>
        <v>1</v>
      </c>
      <c r="O22" s="6" t="str">
        <f t="shared" si="4"/>
        <v>일반</v>
      </c>
      <c r="P22" s="7" t="str">
        <f>RawData!P18</f>
        <v>5cm이하 침하</v>
      </c>
    </row>
    <row r="23" spans="1:16" x14ac:dyDescent="0.3">
      <c r="A23" s="6" t="str">
        <f>RIGHT(RawData!A19,2)</f>
        <v>15</v>
      </c>
      <c r="B23" s="6" t="str">
        <f>RawData!B19</f>
        <v>풍덕천로</v>
      </c>
      <c r="C23" s="6" t="str">
        <f>RawData!C19</f>
        <v>26-용인시-15</v>
      </c>
      <c r="D23" s="6" t="str">
        <f>RawData!D19</f>
        <v>양호</v>
      </c>
      <c r="E23" s="6" t="str">
        <f>RawData!E19</f>
        <v>거북등</v>
      </c>
      <c r="F23" s="6" t="str">
        <f>RawData!F19</f>
        <v>양호</v>
      </c>
      <c r="G23" s="6">
        <f>RawData!G19</f>
        <v>10.3</v>
      </c>
      <c r="H23" s="6" t="str">
        <f>RawData!H19</f>
        <v>-</v>
      </c>
      <c r="I23" s="6">
        <f t="shared" si="5"/>
        <v>0</v>
      </c>
      <c r="J23" s="6">
        <f t="shared" si="0"/>
        <v>3</v>
      </c>
      <c r="K23" s="6">
        <f t="shared" si="1"/>
        <v>0</v>
      </c>
      <c r="L23" s="6">
        <f t="shared" si="6"/>
        <v>1</v>
      </c>
      <c r="M23" s="6">
        <f t="shared" si="2"/>
        <v>0</v>
      </c>
      <c r="N23" s="6">
        <f t="shared" si="3"/>
        <v>4</v>
      </c>
      <c r="O23" s="6" t="str">
        <f t="shared" si="4"/>
        <v>일반</v>
      </c>
      <c r="P23" s="7" t="str">
        <f>RawData!P19</f>
        <v>-</v>
      </c>
    </row>
    <row r="24" spans="1:16" x14ac:dyDescent="0.3">
      <c r="A24" s="6" t="str">
        <f>RIGHT(RawData!A20,2)</f>
        <v>16</v>
      </c>
      <c r="B24" s="6" t="str">
        <f>RawData!B20</f>
        <v>풍덕천로</v>
      </c>
      <c r="C24" s="6" t="str">
        <f>RawData!C20</f>
        <v>26-용인시-16</v>
      </c>
      <c r="D24" s="6" t="str">
        <f>RawData!D20</f>
        <v>양호</v>
      </c>
      <c r="E24" s="6" t="str">
        <f>RawData!E20</f>
        <v>거북등</v>
      </c>
      <c r="F24" s="6" t="str">
        <f>RawData!F20</f>
        <v>양호</v>
      </c>
      <c r="G24" s="6">
        <f>RawData!G20</f>
        <v>10.3</v>
      </c>
      <c r="H24" s="6" t="str">
        <f>RawData!H20</f>
        <v>-</v>
      </c>
      <c r="I24" s="6">
        <f t="shared" si="5"/>
        <v>0</v>
      </c>
      <c r="J24" s="6">
        <f t="shared" si="0"/>
        <v>3</v>
      </c>
      <c r="K24" s="6">
        <f t="shared" si="1"/>
        <v>0</v>
      </c>
      <c r="L24" s="6">
        <f t="shared" si="6"/>
        <v>1</v>
      </c>
      <c r="M24" s="6">
        <f t="shared" si="2"/>
        <v>0</v>
      </c>
      <c r="N24" s="6">
        <f t="shared" si="3"/>
        <v>4</v>
      </c>
      <c r="O24" s="6" t="str">
        <f t="shared" si="4"/>
        <v>일반</v>
      </c>
      <c r="P24" s="7" t="str">
        <f>RawData!P20</f>
        <v>-</v>
      </c>
    </row>
    <row r="25" spans="1:16" x14ac:dyDescent="0.3">
      <c r="A25" s="6" t="str">
        <f>RIGHT(RawData!A21,2)</f>
        <v>17</v>
      </c>
      <c r="B25" s="6" t="str">
        <f>RawData!B21</f>
        <v>풍덕천로</v>
      </c>
      <c r="C25" s="6" t="str">
        <f>RawData!C21</f>
        <v>26-용인시-17</v>
      </c>
      <c r="D25" s="6" t="str">
        <f>RawData!D21</f>
        <v>양호</v>
      </c>
      <c r="E25" s="6" t="str">
        <f>RawData!E21</f>
        <v>거북등</v>
      </c>
      <c r="F25" s="6" t="str">
        <f>RawData!F21</f>
        <v>양호</v>
      </c>
      <c r="G25" s="6">
        <f>RawData!G21</f>
        <v>10.3</v>
      </c>
      <c r="H25" s="6" t="str">
        <f>RawData!H21</f>
        <v>-</v>
      </c>
      <c r="I25" s="6">
        <f t="shared" si="5"/>
        <v>0</v>
      </c>
      <c r="J25" s="6">
        <f t="shared" si="0"/>
        <v>3</v>
      </c>
      <c r="K25" s="6">
        <f t="shared" si="1"/>
        <v>0</v>
      </c>
      <c r="L25" s="6">
        <f t="shared" si="6"/>
        <v>1</v>
      </c>
      <c r="M25" s="6">
        <f t="shared" si="2"/>
        <v>0</v>
      </c>
      <c r="N25" s="6">
        <f t="shared" si="3"/>
        <v>4</v>
      </c>
      <c r="O25" s="6" t="str">
        <f t="shared" si="4"/>
        <v>일반</v>
      </c>
      <c r="P25" s="7" t="str">
        <f>RawData!P21</f>
        <v>-</v>
      </c>
    </row>
    <row r="26" spans="1:16" x14ac:dyDescent="0.3">
      <c r="A26" s="6" t="str">
        <f>RIGHT(RawData!A22,2)</f>
        <v>18</v>
      </c>
      <c r="B26" s="6" t="str">
        <f>RawData!B22</f>
        <v>풍덕천로</v>
      </c>
      <c r="C26" s="6" t="str">
        <f>RawData!C22</f>
        <v>26-용인시-18</v>
      </c>
      <c r="D26" s="6" t="str">
        <f>RawData!D22</f>
        <v>양호</v>
      </c>
      <c r="E26" s="6" t="str">
        <f>RawData!E22</f>
        <v>거북등</v>
      </c>
      <c r="F26" s="6" t="str">
        <f>RawData!F22</f>
        <v>양호</v>
      </c>
      <c r="G26" s="6">
        <f>RawData!G22</f>
        <v>10.3</v>
      </c>
      <c r="H26" s="6" t="str">
        <f>RawData!H22</f>
        <v>-</v>
      </c>
      <c r="I26" s="6">
        <f t="shared" si="5"/>
        <v>0</v>
      </c>
      <c r="J26" s="6">
        <f t="shared" si="0"/>
        <v>3</v>
      </c>
      <c r="K26" s="6">
        <f t="shared" si="1"/>
        <v>0</v>
      </c>
      <c r="L26" s="6">
        <f t="shared" si="6"/>
        <v>1</v>
      </c>
      <c r="M26" s="6">
        <f t="shared" si="2"/>
        <v>0</v>
      </c>
      <c r="N26" s="6">
        <f t="shared" si="3"/>
        <v>4</v>
      </c>
      <c r="O26" s="6" t="str">
        <f t="shared" si="4"/>
        <v>일반</v>
      </c>
      <c r="P26" s="7" t="str">
        <f>RawData!P22</f>
        <v>-</v>
      </c>
    </row>
    <row r="27" spans="1:16" x14ac:dyDescent="0.3">
      <c r="A27" s="6" t="str">
        <f>RIGHT(RawData!A23,2)</f>
        <v>19</v>
      </c>
      <c r="B27" s="6" t="str">
        <f>RawData!B23</f>
        <v>풍덕천로</v>
      </c>
      <c r="C27" s="6" t="str">
        <f>RawData!C23</f>
        <v>26-용인시-19</v>
      </c>
      <c r="D27" s="6" t="str">
        <f>RawData!D23</f>
        <v>양호</v>
      </c>
      <c r="E27" s="6" t="str">
        <f>RawData!E23</f>
        <v>거북등</v>
      </c>
      <c r="F27" s="6" t="str">
        <f>RawData!F23</f>
        <v>양호</v>
      </c>
      <c r="G27" s="6">
        <f>RawData!G23</f>
        <v>10.3</v>
      </c>
      <c r="H27" s="6" t="str">
        <f>RawData!H23</f>
        <v>-</v>
      </c>
      <c r="I27" s="6">
        <f t="shared" si="5"/>
        <v>0</v>
      </c>
      <c r="J27" s="6">
        <f t="shared" si="0"/>
        <v>3</v>
      </c>
      <c r="K27" s="6">
        <f t="shared" si="1"/>
        <v>0</v>
      </c>
      <c r="L27" s="6">
        <f t="shared" si="6"/>
        <v>1</v>
      </c>
      <c r="M27" s="6">
        <f t="shared" si="2"/>
        <v>0</v>
      </c>
      <c r="N27" s="6">
        <f t="shared" si="3"/>
        <v>4</v>
      </c>
      <c r="O27" s="6" t="str">
        <f t="shared" si="4"/>
        <v>일반</v>
      </c>
      <c r="P27" s="7" t="str">
        <f>RawData!P23</f>
        <v>-</v>
      </c>
    </row>
    <row r="28" spans="1:16" x14ac:dyDescent="0.3">
      <c r="A28" s="6" t="str">
        <f>RIGHT(RawData!A24,2)</f>
        <v>20</v>
      </c>
      <c r="B28" s="6" t="str">
        <f>RawData!B24</f>
        <v>풍덕천로</v>
      </c>
      <c r="C28" s="6" t="str">
        <f>RawData!C24</f>
        <v>26-용인시-20</v>
      </c>
      <c r="D28" s="6" t="str">
        <f>RawData!D24</f>
        <v>양호</v>
      </c>
      <c r="E28" s="6" t="str">
        <f>RawData!E24</f>
        <v>거북등</v>
      </c>
      <c r="F28" s="6" t="str">
        <f>RawData!F24</f>
        <v>양호</v>
      </c>
      <c r="G28" s="6">
        <f>RawData!G24</f>
        <v>10.3</v>
      </c>
      <c r="H28" s="6" t="str">
        <f>RawData!H24</f>
        <v>-</v>
      </c>
      <c r="I28" s="6">
        <f t="shared" si="5"/>
        <v>0</v>
      </c>
      <c r="J28" s="6">
        <f t="shared" si="0"/>
        <v>3</v>
      </c>
      <c r="K28" s="6">
        <f t="shared" si="1"/>
        <v>0</v>
      </c>
      <c r="L28" s="6">
        <f t="shared" si="6"/>
        <v>1</v>
      </c>
      <c r="M28" s="6">
        <f t="shared" si="2"/>
        <v>0</v>
      </c>
      <c r="N28" s="6">
        <f t="shared" si="3"/>
        <v>4</v>
      </c>
      <c r="O28" s="6" t="str">
        <f t="shared" si="4"/>
        <v>일반</v>
      </c>
      <c r="P28" s="7" t="str">
        <f>RawData!P24</f>
        <v>-</v>
      </c>
    </row>
    <row r="29" spans="1:16" x14ac:dyDescent="0.3">
      <c r="A29" s="6" t="str">
        <f>RIGHT(RawData!A25,2)</f>
        <v>21</v>
      </c>
      <c r="B29" s="6" t="str">
        <f>RawData!B25</f>
        <v>풍덕천로</v>
      </c>
      <c r="C29" s="6" t="str">
        <f>RawData!C25</f>
        <v>26-용인시-21</v>
      </c>
      <c r="D29" s="6" t="str">
        <f>RawData!D25</f>
        <v>양호</v>
      </c>
      <c r="E29" s="6" t="str">
        <f>RawData!E25</f>
        <v>거북등</v>
      </c>
      <c r="F29" s="6" t="str">
        <f>RawData!F25</f>
        <v>양호</v>
      </c>
      <c r="G29" s="6">
        <f>RawData!G25</f>
        <v>10.3</v>
      </c>
      <c r="H29" s="6" t="str">
        <f>RawData!H25</f>
        <v>-</v>
      </c>
      <c r="I29" s="6">
        <f t="shared" si="5"/>
        <v>0</v>
      </c>
      <c r="J29" s="6">
        <f t="shared" si="0"/>
        <v>3</v>
      </c>
      <c r="K29" s="6">
        <f t="shared" si="1"/>
        <v>0</v>
      </c>
      <c r="L29" s="6">
        <f t="shared" si="6"/>
        <v>1</v>
      </c>
      <c r="M29" s="6">
        <f t="shared" si="2"/>
        <v>0</v>
      </c>
      <c r="N29" s="6">
        <f t="shared" si="3"/>
        <v>4</v>
      </c>
      <c r="O29" s="6" t="str">
        <f t="shared" si="4"/>
        <v>일반</v>
      </c>
      <c r="P29" s="7" t="str">
        <f>RawData!P25</f>
        <v>5cm이하 침하</v>
      </c>
    </row>
    <row r="30" spans="1:16" x14ac:dyDescent="0.3">
      <c r="A30" s="6" t="str">
        <f>RIGHT(RawData!A26,2)</f>
        <v>22</v>
      </c>
      <c r="B30" s="6" t="str">
        <f>RawData!B26</f>
        <v>풍덕천로</v>
      </c>
      <c r="C30" s="6" t="str">
        <f>RawData!C26</f>
        <v>26-용인시-22</v>
      </c>
      <c r="D30" s="6" t="str">
        <f>RawData!D26</f>
        <v>양호</v>
      </c>
      <c r="E30" s="6" t="str">
        <f>RawData!E26</f>
        <v>거북등</v>
      </c>
      <c r="F30" s="6" t="str">
        <f>RawData!F26</f>
        <v>양호</v>
      </c>
      <c r="G30" s="6">
        <f>RawData!G26</f>
        <v>10.3</v>
      </c>
      <c r="H30" s="6" t="str">
        <f>RawData!H26</f>
        <v>-</v>
      </c>
      <c r="I30" s="6">
        <f t="shared" si="5"/>
        <v>0</v>
      </c>
      <c r="J30" s="6">
        <f t="shared" si="0"/>
        <v>3</v>
      </c>
      <c r="K30" s="6">
        <f t="shared" si="1"/>
        <v>0</v>
      </c>
      <c r="L30" s="6">
        <f t="shared" si="6"/>
        <v>1</v>
      </c>
      <c r="M30" s="6">
        <f t="shared" si="2"/>
        <v>0</v>
      </c>
      <c r="N30" s="6">
        <f t="shared" si="3"/>
        <v>4</v>
      </c>
      <c r="O30" s="6" t="str">
        <f t="shared" si="4"/>
        <v>일반</v>
      </c>
      <c r="P30" s="7" t="str">
        <f>RawData!P26</f>
        <v>-</v>
      </c>
    </row>
    <row r="31" spans="1:16" x14ac:dyDescent="0.3">
      <c r="A31" s="6" t="str">
        <f>RIGHT(RawData!A27,2)</f>
        <v>23</v>
      </c>
      <c r="B31" s="6" t="str">
        <f>RawData!B27</f>
        <v>풍덕천로</v>
      </c>
      <c r="C31" s="6" t="str">
        <f>RawData!C27</f>
        <v>26-용인시-23</v>
      </c>
      <c r="D31" s="6" t="str">
        <f>RawData!D27</f>
        <v>양호</v>
      </c>
      <c r="E31" s="6" t="str">
        <f>RawData!E27</f>
        <v>거북등</v>
      </c>
      <c r="F31" s="6" t="str">
        <f>RawData!F27</f>
        <v>양호</v>
      </c>
      <c r="G31" s="6">
        <f>RawData!G27</f>
        <v>10.3</v>
      </c>
      <c r="H31" s="6" t="str">
        <f>RawData!H27</f>
        <v>-</v>
      </c>
      <c r="I31" s="6">
        <f t="shared" si="5"/>
        <v>0</v>
      </c>
      <c r="J31" s="6">
        <f t="shared" si="0"/>
        <v>3</v>
      </c>
      <c r="K31" s="6">
        <f t="shared" si="1"/>
        <v>0</v>
      </c>
      <c r="L31" s="6">
        <f t="shared" si="6"/>
        <v>1</v>
      </c>
      <c r="M31" s="6">
        <f t="shared" si="2"/>
        <v>0</v>
      </c>
      <c r="N31" s="6">
        <f t="shared" si="3"/>
        <v>4</v>
      </c>
      <c r="O31" s="6" t="str">
        <f t="shared" si="4"/>
        <v>일반</v>
      </c>
      <c r="P31" s="7" t="str">
        <f>RawData!P27</f>
        <v>-</v>
      </c>
    </row>
    <row r="32" spans="1:16" x14ac:dyDescent="0.3">
      <c r="A32" s="6" t="str">
        <f>RIGHT(RawData!A28,2)</f>
        <v>24</v>
      </c>
      <c r="B32" s="6" t="str">
        <f>RawData!B28</f>
        <v>풍덕천로</v>
      </c>
      <c r="C32" s="6" t="str">
        <f>RawData!C28</f>
        <v>26-용인시-24</v>
      </c>
      <c r="D32" s="6" t="str">
        <f>RawData!D28</f>
        <v>양호</v>
      </c>
      <c r="E32" s="6" t="str">
        <f>RawData!E28</f>
        <v>-</v>
      </c>
      <c r="F32" s="6" t="str">
        <f>RawData!F28</f>
        <v>양호</v>
      </c>
      <c r="G32" s="6">
        <f>RawData!G28</f>
        <v>10.3</v>
      </c>
      <c r="H32" s="6" t="str">
        <f>RawData!H28</f>
        <v>-</v>
      </c>
      <c r="I32" s="6">
        <f t="shared" si="5"/>
        <v>0</v>
      </c>
      <c r="J32" s="6">
        <f t="shared" si="0"/>
        <v>0</v>
      </c>
      <c r="K32" s="6">
        <f t="shared" si="1"/>
        <v>0</v>
      </c>
      <c r="L32" s="6">
        <f t="shared" si="6"/>
        <v>1</v>
      </c>
      <c r="M32" s="6">
        <f t="shared" si="2"/>
        <v>0</v>
      </c>
      <c r="N32" s="6">
        <f t="shared" si="3"/>
        <v>1</v>
      </c>
      <c r="O32" s="6" t="str">
        <f t="shared" si="4"/>
        <v>일반</v>
      </c>
      <c r="P32" s="7" t="str">
        <f>RawData!P28</f>
        <v>5cm이하 침하</v>
      </c>
    </row>
    <row r="33" spans="1:16" x14ac:dyDescent="0.3">
      <c r="A33" s="6" t="str">
        <f>RIGHT(RawData!A29,2)</f>
        <v>25</v>
      </c>
      <c r="B33" s="6" t="str">
        <f>RawData!B29</f>
        <v>풍덕천로</v>
      </c>
      <c r="C33" s="6" t="str">
        <f>RawData!C29</f>
        <v>26-용인시-25</v>
      </c>
      <c r="D33" s="6" t="str">
        <f>RawData!D29</f>
        <v>양호</v>
      </c>
      <c r="E33" s="6" t="str">
        <f>RawData!E29</f>
        <v>거북등</v>
      </c>
      <c r="F33" s="6" t="str">
        <f>RawData!F29</f>
        <v>양호</v>
      </c>
      <c r="G33" s="6">
        <f>RawData!G29</f>
        <v>10.3</v>
      </c>
      <c r="H33" s="6" t="str">
        <f>RawData!H29</f>
        <v>-</v>
      </c>
      <c r="I33" s="6">
        <f t="shared" si="5"/>
        <v>0</v>
      </c>
      <c r="J33" s="6">
        <f t="shared" si="0"/>
        <v>3</v>
      </c>
      <c r="K33" s="6">
        <f t="shared" si="1"/>
        <v>0</v>
      </c>
      <c r="L33" s="6">
        <f t="shared" si="6"/>
        <v>1</v>
      </c>
      <c r="M33" s="6">
        <f t="shared" si="2"/>
        <v>0</v>
      </c>
      <c r="N33" s="6">
        <f t="shared" si="3"/>
        <v>4</v>
      </c>
      <c r="O33" s="6" t="str">
        <f t="shared" si="4"/>
        <v>일반</v>
      </c>
      <c r="P33" s="7" t="str">
        <f>RawData!P29</f>
        <v>-</v>
      </c>
    </row>
    <row r="34" spans="1:16" x14ac:dyDescent="0.3">
      <c r="A34" s="6" t="str">
        <f>RIGHT(RawData!A30,2)</f>
        <v>26</v>
      </c>
      <c r="B34" s="6" t="str">
        <f>RawData!B30</f>
        <v>풍덕천로</v>
      </c>
      <c r="C34" s="6" t="str">
        <f>RawData!C30</f>
        <v>26-용인시-26</v>
      </c>
      <c r="D34" s="6" t="str">
        <f>RawData!D30</f>
        <v>양호</v>
      </c>
      <c r="E34" s="6" t="str">
        <f>RawData!E30</f>
        <v>거북등</v>
      </c>
      <c r="F34" s="6" t="str">
        <f>RawData!F30</f>
        <v>양호</v>
      </c>
      <c r="G34" s="6">
        <f>RawData!G30</f>
        <v>10.3</v>
      </c>
      <c r="H34" s="6" t="str">
        <f>RawData!H30</f>
        <v>-</v>
      </c>
      <c r="I34" s="6">
        <f t="shared" ref="I34:I80" si="7">IF(D34="양호",0,IF(D34="보통",3,IF(D34="불량",9)))</f>
        <v>0</v>
      </c>
      <c r="J34" s="6">
        <f t="shared" ref="J34:J80" si="8">IF(E34="거북등",3,IF(RIGHT(E34,2)="균열",1,IF(E34="-",0)))</f>
        <v>3</v>
      </c>
      <c r="K34" s="6">
        <f t="shared" ref="K34:K80" si="9">IF(F34="유출",9,IF(F34="습윤",1,IF(F34="양호",0,IF(F34="건조",0))))</f>
        <v>0</v>
      </c>
      <c r="L34" s="6">
        <f t="shared" ref="L34:L80" si="10">IF(G34&gt;=30,2,IF(G34&gt;=10,1,0))</f>
        <v>1</v>
      </c>
      <c r="M34" s="6">
        <f t="shared" ref="M34:M80" si="11">IF(H34="-",0,1)</f>
        <v>0</v>
      </c>
      <c r="N34" s="6">
        <f t="shared" ref="N34:N80" si="12">SUM(I34:M34)</f>
        <v>4</v>
      </c>
      <c r="O34" s="6" t="str">
        <f t="shared" ref="O34:O80" si="13">IF(N34&lt;6,"일반",IF(N34&lt;9,"우선",IF(N34&gt;=9,"긴급")))</f>
        <v>일반</v>
      </c>
      <c r="P34" s="7" t="str">
        <f>RawData!P30</f>
        <v>-</v>
      </c>
    </row>
    <row r="35" spans="1:16" x14ac:dyDescent="0.3">
      <c r="A35" s="6" t="str">
        <f>RIGHT(RawData!A31,2)</f>
        <v>27</v>
      </c>
      <c r="B35" s="6" t="str">
        <f>RawData!B31</f>
        <v>풍덕천로</v>
      </c>
      <c r="C35" s="6" t="str">
        <f>RawData!C31</f>
        <v>26-용인시-27</v>
      </c>
      <c r="D35" s="6" t="str">
        <f>RawData!D31</f>
        <v>양호</v>
      </c>
      <c r="E35" s="6" t="str">
        <f>RawData!E31</f>
        <v>거북등</v>
      </c>
      <c r="F35" s="6" t="str">
        <f>RawData!F31</f>
        <v>양호</v>
      </c>
      <c r="G35" s="6">
        <f>RawData!G31</f>
        <v>10.3</v>
      </c>
      <c r="H35" s="6" t="str">
        <f>RawData!H31</f>
        <v>-</v>
      </c>
      <c r="I35" s="6">
        <f t="shared" si="7"/>
        <v>0</v>
      </c>
      <c r="J35" s="6">
        <f t="shared" si="8"/>
        <v>3</v>
      </c>
      <c r="K35" s="6">
        <f t="shared" si="9"/>
        <v>0</v>
      </c>
      <c r="L35" s="6">
        <f t="shared" si="10"/>
        <v>1</v>
      </c>
      <c r="M35" s="6">
        <f t="shared" si="11"/>
        <v>0</v>
      </c>
      <c r="N35" s="6">
        <f t="shared" si="12"/>
        <v>4</v>
      </c>
      <c r="O35" s="6" t="str">
        <f t="shared" si="13"/>
        <v>일반</v>
      </c>
      <c r="P35" s="7" t="str">
        <f>RawData!P31</f>
        <v>-</v>
      </c>
    </row>
    <row r="36" spans="1:16" x14ac:dyDescent="0.3">
      <c r="A36" s="6" t="str">
        <f>RIGHT(RawData!A32,2)</f>
        <v>28</v>
      </c>
      <c r="B36" s="6" t="str">
        <f>RawData!B32</f>
        <v>풍덕천로</v>
      </c>
      <c r="C36" s="6" t="str">
        <f>RawData!C32</f>
        <v>26-용인시-28</v>
      </c>
      <c r="D36" s="6" t="str">
        <f>RawData!D32</f>
        <v>양호</v>
      </c>
      <c r="E36" s="6" t="str">
        <f>RawData!E32</f>
        <v>거북등</v>
      </c>
      <c r="F36" s="6" t="str">
        <f>RawData!F32</f>
        <v>양호</v>
      </c>
      <c r="G36" s="6">
        <f>RawData!G32</f>
        <v>10.3</v>
      </c>
      <c r="H36" s="6" t="str">
        <f>RawData!H32</f>
        <v>-</v>
      </c>
      <c r="I36" s="6">
        <f t="shared" si="7"/>
        <v>0</v>
      </c>
      <c r="J36" s="6">
        <f t="shared" si="8"/>
        <v>3</v>
      </c>
      <c r="K36" s="6">
        <f t="shared" si="9"/>
        <v>0</v>
      </c>
      <c r="L36" s="6">
        <f t="shared" si="10"/>
        <v>1</v>
      </c>
      <c r="M36" s="6">
        <f t="shared" si="11"/>
        <v>0</v>
      </c>
      <c r="N36" s="6">
        <f t="shared" si="12"/>
        <v>4</v>
      </c>
      <c r="O36" s="6" t="str">
        <f t="shared" si="13"/>
        <v>일반</v>
      </c>
      <c r="P36" s="7" t="str">
        <f>RawData!P32</f>
        <v>5cm이하 침하</v>
      </c>
    </row>
    <row r="37" spans="1:16" x14ac:dyDescent="0.3">
      <c r="A37" s="6" t="str">
        <f>RIGHT(RawData!A33,2)</f>
        <v>29</v>
      </c>
      <c r="B37" s="6" t="str">
        <f>RawData!B33</f>
        <v>풍덕천로</v>
      </c>
      <c r="C37" s="6" t="str">
        <f>RawData!C33</f>
        <v>26-용인시-29</v>
      </c>
      <c r="D37" s="6" t="str">
        <f>RawData!D33</f>
        <v>양호</v>
      </c>
      <c r="E37" s="6" t="str">
        <f>RawData!E33</f>
        <v>거북등</v>
      </c>
      <c r="F37" s="6" t="str">
        <f>RawData!F33</f>
        <v>양호</v>
      </c>
      <c r="G37" s="6">
        <f>RawData!G33</f>
        <v>10.3</v>
      </c>
      <c r="H37" s="6" t="str">
        <f>RawData!H33</f>
        <v>-</v>
      </c>
      <c r="I37" s="6">
        <f t="shared" si="7"/>
        <v>0</v>
      </c>
      <c r="J37" s="6">
        <f t="shared" si="8"/>
        <v>3</v>
      </c>
      <c r="K37" s="6">
        <f t="shared" si="9"/>
        <v>0</v>
      </c>
      <c r="L37" s="6">
        <f t="shared" si="10"/>
        <v>1</v>
      </c>
      <c r="M37" s="6">
        <f t="shared" si="11"/>
        <v>0</v>
      </c>
      <c r="N37" s="6">
        <f t="shared" si="12"/>
        <v>4</v>
      </c>
      <c r="O37" s="6" t="str">
        <f t="shared" si="13"/>
        <v>일반</v>
      </c>
      <c r="P37" s="7" t="str">
        <f>RawData!P33</f>
        <v>-</v>
      </c>
    </row>
    <row r="38" spans="1:16" x14ac:dyDescent="0.3">
      <c r="A38" s="6" t="str">
        <f>RIGHT(RawData!A34,2)</f>
        <v>30</v>
      </c>
      <c r="B38" s="6" t="str">
        <f>RawData!B34</f>
        <v>풍덕천로</v>
      </c>
      <c r="C38" s="6" t="str">
        <f>RawData!C34</f>
        <v>26-용인시-30</v>
      </c>
      <c r="D38" s="6" t="str">
        <f>RawData!D34</f>
        <v>양호</v>
      </c>
      <c r="E38" s="6" t="str">
        <f>RawData!E34</f>
        <v>거북등</v>
      </c>
      <c r="F38" s="6" t="str">
        <f>RawData!F34</f>
        <v>양호</v>
      </c>
      <c r="G38" s="6">
        <f>RawData!G34</f>
        <v>10.3</v>
      </c>
      <c r="H38" s="6" t="str">
        <f>RawData!H34</f>
        <v>-</v>
      </c>
      <c r="I38" s="6">
        <f t="shared" si="7"/>
        <v>0</v>
      </c>
      <c r="J38" s="6">
        <f t="shared" si="8"/>
        <v>3</v>
      </c>
      <c r="K38" s="6">
        <f t="shared" si="9"/>
        <v>0</v>
      </c>
      <c r="L38" s="6">
        <f t="shared" si="10"/>
        <v>1</v>
      </c>
      <c r="M38" s="6">
        <f t="shared" si="11"/>
        <v>0</v>
      </c>
      <c r="N38" s="6">
        <f t="shared" si="12"/>
        <v>4</v>
      </c>
      <c r="O38" s="6" t="str">
        <f t="shared" si="13"/>
        <v>일반</v>
      </c>
      <c r="P38" s="7" t="str">
        <f>RawData!P34</f>
        <v>-</v>
      </c>
    </row>
    <row r="39" spans="1:16" x14ac:dyDescent="0.3">
      <c r="A39" s="6" t="str">
        <f>RIGHT(RawData!A35,2)</f>
        <v>31</v>
      </c>
      <c r="B39" s="6" t="str">
        <f>RawData!B35</f>
        <v>풍덕천로</v>
      </c>
      <c r="C39" s="6" t="str">
        <f>RawData!C35</f>
        <v>26-용인시-31</v>
      </c>
      <c r="D39" s="6" t="str">
        <f>RawData!D35</f>
        <v>양호</v>
      </c>
      <c r="E39" s="6" t="str">
        <f>RawData!E35</f>
        <v>거북등</v>
      </c>
      <c r="F39" s="6" t="str">
        <f>RawData!F35</f>
        <v>양호</v>
      </c>
      <c r="G39" s="6">
        <f>RawData!G35</f>
        <v>10.3</v>
      </c>
      <c r="H39" s="6" t="str">
        <f>RawData!H35</f>
        <v>-</v>
      </c>
      <c r="I39" s="6">
        <f t="shared" si="7"/>
        <v>0</v>
      </c>
      <c r="J39" s="6">
        <f t="shared" si="8"/>
        <v>3</v>
      </c>
      <c r="K39" s="6">
        <f t="shared" si="9"/>
        <v>0</v>
      </c>
      <c r="L39" s="6">
        <f t="shared" si="10"/>
        <v>1</v>
      </c>
      <c r="M39" s="6">
        <f t="shared" si="11"/>
        <v>0</v>
      </c>
      <c r="N39" s="6">
        <f t="shared" si="12"/>
        <v>4</v>
      </c>
      <c r="O39" s="6" t="str">
        <f t="shared" si="13"/>
        <v>일반</v>
      </c>
      <c r="P39" s="7" t="str">
        <f>RawData!P35</f>
        <v>-</v>
      </c>
    </row>
    <row r="40" spans="1:16" x14ac:dyDescent="0.3">
      <c r="A40" s="6" t="str">
        <f>RIGHT(RawData!A36,2)</f>
        <v>32</v>
      </c>
      <c r="B40" s="6" t="str">
        <f>RawData!B36</f>
        <v>풍덕천로</v>
      </c>
      <c r="C40" s="6" t="str">
        <f>RawData!C36</f>
        <v>26-용인시-32</v>
      </c>
      <c r="D40" s="6" t="str">
        <f>RawData!D36</f>
        <v>양호</v>
      </c>
      <c r="E40" s="6" t="str">
        <f>RawData!E36</f>
        <v>거북등</v>
      </c>
      <c r="F40" s="6" t="str">
        <f>RawData!F36</f>
        <v>양호</v>
      </c>
      <c r="G40" s="6">
        <f>RawData!G36</f>
        <v>10.3</v>
      </c>
      <c r="H40" s="6" t="str">
        <f>RawData!H36</f>
        <v>-</v>
      </c>
      <c r="I40" s="6">
        <f t="shared" si="7"/>
        <v>0</v>
      </c>
      <c r="J40" s="6">
        <f t="shared" si="8"/>
        <v>3</v>
      </c>
      <c r="K40" s="6">
        <f t="shared" si="9"/>
        <v>0</v>
      </c>
      <c r="L40" s="6">
        <f t="shared" si="10"/>
        <v>1</v>
      </c>
      <c r="M40" s="6">
        <f t="shared" si="11"/>
        <v>0</v>
      </c>
      <c r="N40" s="6">
        <f t="shared" si="12"/>
        <v>4</v>
      </c>
      <c r="O40" s="6" t="str">
        <f t="shared" si="13"/>
        <v>일반</v>
      </c>
      <c r="P40" s="7" t="str">
        <f>RawData!P36</f>
        <v>-</v>
      </c>
    </row>
    <row r="41" spans="1:16" x14ac:dyDescent="0.3">
      <c r="A41" s="6" t="str">
        <f>RIGHT(RawData!A37,2)</f>
        <v>33</v>
      </c>
      <c r="B41" s="6" t="str">
        <f>RawData!B37</f>
        <v>풍덕천로</v>
      </c>
      <c r="C41" s="6" t="str">
        <f>RawData!C37</f>
        <v>26-용인시-33</v>
      </c>
      <c r="D41" s="6" t="str">
        <f>RawData!D37</f>
        <v>양호</v>
      </c>
      <c r="E41" s="6" t="str">
        <f>RawData!E37</f>
        <v>횡균열</v>
      </c>
      <c r="F41" s="6" t="str">
        <f>RawData!F37</f>
        <v>양호</v>
      </c>
      <c r="G41" s="6">
        <f>RawData!G37</f>
        <v>10.3</v>
      </c>
      <c r="H41" s="6" t="str">
        <f>RawData!H37</f>
        <v>-</v>
      </c>
      <c r="I41" s="6">
        <f t="shared" si="7"/>
        <v>0</v>
      </c>
      <c r="J41" s="6">
        <f t="shared" si="8"/>
        <v>1</v>
      </c>
      <c r="K41" s="6">
        <f t="shared" si="9"/>
        <v>0</v>
      </c>
      <c r="L41" s="6">
        <f t="shared" si="10"/>
        <v>1</v>
      </c>
      <c r="M41" s="6">
        <f t="shared" si="11"/>
        <v>0</v>
      </c>
      <c r="N41" s="6">
        <f t="shared" si="12"/>
        <v>2</v>
      </c>
      <c r="O41" s="6" t="str">
        <f t="shared" si="13"/>
        <v>일반</v>
      </c>
      <c r="P41" s="7" t="str">
        <f>RawData!P37</f>
        <v>-</v>
      </c>
    </row>
    <row r="42" spans="1:16" x14ac:dyDescent="0.3">
      <c r="A42" s="6" t="str">
        <f>RIGHT(RawData!A38,2)</f>
        <v>34</v>
      </c>
      <c r="B42" s="6" t="str">
        <f>RawData!B38</f>
        <v>풍덕천로</v>
      </c>
      <c r="C42" s="6" t="str">
        <f>RawData!C38</f>
        <v>26-용인시-34</v>
      </c>
      <c r="D42" s="6" t="str">
        <f>RawData!D38</f>
        <v>양호</v>
      </c>
      <c r="E42" s="6" t="str">
        <f>RawData!E38</f>
        <v>-</v>
      </c>
      <c r="F42" s="6" t="str">
        <f>RawData!F38</f>
        <v>양호</v>
      </c>
      <c r="G42" s="6">
        <f>RawData!G38</f>
        <v>10.3</v>
      </c>
      <c r="H42" s="6" t="str">
        <f>RawData!H38</f>
        <v>-</v>
      </c>
      <c r="I42" s="6">
        <f t="shared" si="7"/>
        <v>0</v>
      </c>
      <c r="J42" s="6">
        <f t="shared" si="8"/>
        <v>0</v>
      </c>
      <c r="K42" s="6">
        <f t="shared" si="9"/>
        <v>0</v>
      </c>
      <c r="L42" s="6">
        <f t="shared" si="10"/>
        <v>1</v>
      </c>
      <c r="M42" s="6">
        <f t="shared" si="11"/>
        <v>0</v>
      </c>
      <c r="N42" s="6">
        <f t="shared" si="12"/>
        <v>1</v>
      </c>
      <c r="O42" s="6" t="str">
        <f t="shared" si="13"/>
        <v>일반</v>
      </c>
      <c r="P42" s="7" t="str">
        <f>RawData!P38</f>
        <v>-</v>
      </c>
    </row>
    <row r="43" spans="1:16" x14ac:dyDescent="0.3">
      <c r="A43" s="6" t="str">
        <f>RIGHT(RawData!A39,2)</f>
        <v>35</v>
      </c>
      <c r="B43" s="6" t="str">
        <f>RawData!B39</f>
        <v>풍덕천로</v>
      </c>
      <c r="C43" s="6" t="str">
        <f>RawData!C39</f>
        <v>26-용인시-35</v>
      </c>
      <c r="D43" s="6" t="str">
        <f>RawData!D39</f>
        <v>양호</v>
      </c>
      <c r="E43" s="6" t="str">
        <f>RawData!E39</f>
        <v>거북등</v>
      </c>
      <c r="F43" s="6" t="str">
        <f>RawData!F39</f>
        <v>양호</v>
      </c>
      <c r="G43" s="6">
        <f>RawData!G39</f>
        <v>10.3</v>
      </c>
      <c r="H43" s="6" t="str">
        <f>RawData!H39</f>
        <v>-</v>
      </c>
      <c r="I43" s="6">
        <f t="shared" si="7"/>
        <v>0</v>
      </c>
      <c r="J43" s="6">
        <f t="shared" si="8"/>
        <v>3</v>
      </c>
      <c r="K43" s="6">
        <f t="shared" si="9"/>
        <v>0</v>
      </c>
      <c r="L43" s="6">
        <f t="shared" si="10"/>
        <v>1</v>
      </c>
      <c r="M43" s="6">
        <f t="shared" si="11"/>
        <v>0</v>
      </c>
      <c r="N43" s="6">
        <f t="shared" si="12"/>
        <v>4</v>
      </c>
      <c r="O43" s="6" t="str">
        <f t="shared" si="13"/>
        <v>일반</v>
      </c>
      <c r="P43" s="7" t="str">
        <f>RawData!P39</f>
        <v>-</v>
      </c>
    </row>
    <row r="44" spans="1:16" x14ac:dyDescent="0.3">
      <c r="A44" s="6" t="str">
        <f>RIGHT(RawData!A40,2)</f>
        <v>36</v>
      </c>
      <c r="B44" s="6" t="str">
        <f>RawData!B40</f>
        <v>풍덕천로</v>
      </c>
      <c r="C44" s="6" t="str">
        <f>RawData!C40</f>
        <v>26-용인시-36</v>
      </c>
      <c r="D44" s="6" t="str">
        <f>RawData!D40</f>
        <v>양호</v>
      </c>
      <c r="E44" s="6" t="str">
        <f>RawData!E40</f>
        <v>거북등</v>
      </c>
      <c r="F44" s="6" t="str">
        <f>RawData!F40</f>
        <v>양호</v>
      </c>
      <c r="G44" s="6">
        <f>RawData!G40</f>
        <v>10.3</v>
      </c>
      <c r="H44" s="6" t="str">
        <f>RawData!H40</f>
        <v>-</v>
      </c>
      <c r="I44" s="6">
        <f t="shared" si="7"/>
        <v>0</v>
      </c>
      <c r="J44" s="6">
        <f t="shared" si="8"/>
        <v>3</v>
      </c>
      <c r="K44" s="6">
        <f t="shared" si="9"/>
        <v>0</v>
      </c>
      <c r="L44" s="6">
        <f t="shared" si="10"/>
        <v>1</v>
      </c>
      <c r="M44" s="6">
        <f t="shared" si="11"/>
        <v>0</v>
      </c>
      <c r="N44" s="6">
        <f t="shared" si="12"/>
        <v>4</v>
      </c>
      <c r="O44" s="6" t="str">
        <f t="shared" si="13"/>
        <v>일반</v>
      </c>
      <c r="P44" s="7" t="str">
        <f>RawData!P40</f>
        <v>-</v>
      </c>
    </row>
    <row r="45" spans="1:16" x14ac:dyDescent="0.3">
      <c r="A45" s="6" t="str">
        <f>RIGHT(RawData!A41,2)</f>
        <v>37</v>
      </c>
      <c r="B45" s="6" t="str">
        <f>RawData!B41</f>
        <v>풍덕천로</v>
      </c>
      <c r="C45" s="6" t="str">
        <f>RawData!C41</f>
        <v>26-용인시-37</v>
      </c>
      <c r="D45" s="6" t="str">
        <f>RawData!D41</f>
        <v>양호</v>
      </c>
      <c r="E45" s="6" t="str">
        <f>RawData!E41</f>
        <v>거북등</v>
      </c>
      <c r="F45" s="6" t="str">
        <f>RawData!F41</f>
        <v>양호</v>
      </c>
      <c r="G45" s="6">
        <f>RawData!G41</f>
        <v>10.3</v>
      </c>
      <c r="H45" s="6" t="str">
        <f>RawData!H41</f>
        <v>-</v>
      </c>
      <c r="I45" s="6">
        <f t="shared" si="7"/>
        <v>0</v>
      </c>
      <c r="J45" s="6">
        <f t="shared" si="8"/>
        <v>3</v>
      </c>
      <c r="K45" s="6">
        <f t="shared" si="9"/>
        <v>0</v>
      </c>
      <c r="L45" s="6">
        <f t="shared" si="10"/>
        <v>1</v>
      </c>
      <c r="M45" s="6">
        <f t="shared" si="11"/>
        <v>0</v>
      </c>
      <c r="N45" s="6">
        <f t="shared" si="12"/>
        <v>4</v>
      </c>
      <c r="O45" s="6" t="str">
        <f t="shared" si="13"/>
        <v>일반</v>
      </c>
      <c r="P45" s="7" t="str">
        <f>RawData!P41</f>
        <v>-</v>
      </c>
    </row>
    <row r="46" spans="1:16" x14ac:dyDescent="0.3">
      <c r="A46" s="6" t="str">
        <f>RIGHT(RawData!A42,2)</f>
        <v>38</v>
      </c>
      <c r="B46" s="6" t="str">
        <f>RawData!B42</f>
        <v>풍덕천로</v>
      </c>
      <c r="C46" s="6" t="str">
        <f>RawData!C42</f>
        <v>26-용인시-38</v>
      </c>
      <c r="D46" s="6" t="str">
        <f>RawData!D42</f>
        <v>양호</v>
      </c>
      <c r="E46" s="6" t="str">
        <f>RawData!E42</f>
        <v>횡균열</v>
      </c>
      <c r="F46" s="6" t="str">
        <f>RawData!F42</f>
        <v>양호</v>
      </c>
      <c r="G46" s="6">
        <f>RawData!G42</f>
        <v>10.3</v>
      </c>
      <c r="H46" s="6" t="str">
        <f>RawData!H42</f>
        <v>-</v>
      </c>
      <c r="I46" s="6">
        <f t="shared" si="7"/>
        <v>0</v>
      </c>
      <c r="J46" s="6">
        <f t="shared" si="8"/>
        <v>1</v>
      </c>
      <c r="K46" s="6">
        <f t="shared" si="9"/>
        <v>0</v>
      </c>
      <c r="L46" s="6">
        <f t="shared" si="10"/>
        <v>1</v>
      </c>
      <c r="M46" s="6">
        <f t="shared" si="11"/>
        <v>0</v>
      </c>
      <c r="N46" s="6">
        <f t="shared" si="12"/>
        <v>2</v>
      </c>
      <c r="O46" s="6" t="str">
        <f t="shared" si="13"/>
        <v>일반</v>
      </c>
      <c r="P46" s="7" t="str">
        <f>RawData!P42</f>
        <v>-</v>
      </c>
    </row>
    <row r="47" spans="1:16" x14ac:dyDescent="0.3">
      <c r="A47" s="6" t="str">
        <f>RIGHT(RawData!A43,2)</f>
        <v>39</v>
      </c>
      <c r="B47" s="6" t="str">
        <f>RawData!B43</f>
        <v>풍덕천로</v>
      </c>
      <c r="C47" s="6" t="str">
        <f>RawData!C43</f>
        <v>26-용인시-39</v>
      </c>
      <c r="D47" s="6" t="str">
        <f>RawData!D43</f>
        <v>양호</v>
      </c>
      <c r="E47" s="6" t="str">
        <f>RawData!E43</f>
        <v>거북등</v>
      </c>
      <c r="F47" s="6" t="str">
        <f>RawData!F43</f>
        <v>양호</v>
      </c>
      <c r="G47" s="6">
        <f>RawData!G43</f>
        <v>10.3</v>
      </c>
      <c r="H47" s="6" t="str">
        <f>RawData!H43</f>
        <v>-</v>
      </c>
      <c r="I47" s="6">
        <f t="shared" si="7"/>
        <v>0</v>
      </c>
      <c r="J47" s="6">
        <f t="shared" si="8"/>
        <v>3</v>
      </c>
      <c r="K47" s="6">
        <f t="shared" si="9"/>
        <v>0</v>
      </c>
      <c r="L47" s="6">
        <f t="shared" si="10"/>
        <v>1</v>
      </c>
      <c r="M47" s="6">
        <f t="shared" si="11"/>
        <v>0</v>
      </c>
      <c r="N47" s="6">
        <f t="shared" si="12"/>
        <v>4</v>
      </c>
      <c r="O47" s="6" t="str">
        <f t="shared" si="13"/>
        <v>일반</v>
      </c>
      <c r="P47" s="7" t="str">
        <f>RawData!P43</f>
        <v>-</v>
      </c>
    </row>
    <row r="48" spans="1:16" x14ac:dyDescent="0.3">
      <c r="A48" s="6" t="str">
        <f>RIGHT(RawData!A44,2)</f>
        <v>40</v>
      </c>
      <c r="B48" s="6" t="str">
        <f>RawData!B44</f>
        <v>풍덕천로</v>
      </c>
      <c r="C48" s="6" t="str">
        <f>RawData!C44</f>
        <v>26-용인시-40</v>
      </c>
      <c r="D48" s="6" t="str">
        <f>RawData!D44</f>
        <v>양호</v>
      </c>
      <c r="E48" s="6" t="str">
        <f>RawData!E44</f>
        <v>횡균열</v>
      </c>
      <c r="F48" s="6" t="str">
        <f>RawData!F44</f>
        <v>양호</v>
      </c>
      <c r="G48" s="6">
        <f>RawData!G44</f>
        <v>10.3</v>
      </c>
      <c r="H48" s="6" t="str">
        <f>RawData!H44</f>
        <v>-</v>
      </c>
      <c r="I48" s="6">
        <f t="shared" si="7"/>
        <v>0</v>
      </c>
      <c r="J48" s="6">
        <f t="shared" si="8"/>
        <v>1</v>
      </c>
      <c r="K48" s="6">
        <f t="shared" si="9"/>
        <v>0</v>
      </c>
      <c r="L48" s="6">
        <f t="shared" si="10"/>
        <v>1</v>
      </c>
      <c r="M48" s="6">
        <f t="shared" si="11"/>
        <v>0</v>
      </c>
      <c r="N48" s="6">
        <f t="shared" si="12"/>
        <v>2</v>
      </c>
      <c r="O48" s="6" t="str">
        <f t="shared" si="13"/>
        <v>일반</v>
      </c>
      <c r="P48" s="7" t="str">
        <f>RawData!P44</f>
        <v>-</v>
      </c>
    </row>
    <row r="49" spans="1:16" x14ac:dyDescent="0.3">
      <c r="A49" s="6" t="str">
        <f>RIGHT(RawData!A45,2)</f>
        <v>41</v>
      </c>
      <c r="B49" s="6" t="str">
        <f>RawData!B45</f>
        <v>수지로</v>
      </c>
      <c r="C49" s="6" t="str">
        <f>RawData!C45</f>
        <v>26-용인시-41</v>
      </c>
      <c r="D49" s="6" t="str">
        <f>RawData!D45</f>
        <v>양호</v>
      </c>
      <c r="E49" s="6" t="str">
        <f>RawData!E45</f>
        <v>거북등</v>
      </c>
      <c r="F49" s="6" t="str">
        <f>RawData!F45</f>
        <v>양호</v>
      </c>
      <c r="G49" s="6">
        <f>RawData!G45</f>
        <v>10.3</v>
      </c>
      <c r="H49" s="6" t="str">
        <f>RawData!H45</f>
        <v>-</v>
      </c>
      <c r="I49" s="6">
        <f t="shared" si="7"/>
        <v>0</v>
      </c>
      <c r="J49" s="6">
        <f t="shared" si="8"/>
        <v>3</v>
      </c>
      <c r="K49" s="6">
        <f t="shared" si="9"/>
        <v>0</v>
      </c>
      <c r="L49" s="6">
        <f t="shared" si="10"/>
        <v>1</v>
      </c>
      <c r="M49" s="6">
        <f t="shared" si="11"/>
        <v>0</v>
      </c>
      <c r="N49" s="6">
        <f t="shared" si="12"/>
        <v>4</v>
      </c>
      <c r="O49" s="6" t="str">
        <f t="shared" si="13"/>
        <v>일반</v>
      </c>
      <c r="P49" s="7" t="str">
        <f>RawData!P45</f>
        <v>-</v>
      </c>
    </row>
    <row r="50" spans="1:16" x14ac:dyDescent="0.3">
      <c r="A50" s="6" t="str">
        <f>RIGHT(RawData!A46,2)</f>
        <v>42</v>
      </c>
      <c r="B50" s="6" t="str">
        <f>RawData!B46</f>
        <v>수지로</v>
      </c>
      <c r="C50" s="6" t="str">
        <f>RawData!C46</f>
        <v>26-용인시-42</v>
      </c>
      <c r="D50" s="6" t="str">
        <f>RawData!D46</f>
        <v>양호</v>
      </c>
      <c r="E50" s="6" t="str">
        <f>RawData!E46</f>
        <v>종횡균열</v>
      </c>
      <c r="F50" s="6" t="str">
        <f>RawData!F46</f>
        <v>양호</v>
      </c>
      <c r="G50" s="6">
        <f>RawData!G46</f>
        <v>10.3</v>
      </c>
      <c r="H50" s="6" t="str">
        <f>RawData!H46</f>
        <v>-</v>
      </c>
      <c r="I50" s="6">
        <f t="shared" si="7"/>
        <v>0</v>
      </c>
      <c r="J50" s="6">
        <f t="shared" si="8"/>
        <v>1</v>
      </c>
      <c r="K50" s="6">
        <f t="shared" si="9"/>
        <v>0</v>
      </c>
      <c r="L50" s="6">
        <f t="shared" si="10"/>
        <v>1</v>
      </c>
      <c r="M50" s="6">
        <f t="shared" si="11"/>
        <v>0</v>
      </c>
      <c r="N50" s="6">
        <f t="shared" si="12"/>
        <v>2</v>
      </c>
      <c r="O50" s="6" t="str">
        <f t="shared" si="13"/>
        <v>일반</v>
      </c>
      <c r="P50" s="7" t="str">
        <f>RawData!P46</f>
        <v>-</v>
      </c>
    </row>
    <row r="51" spans="1:16" x14ac:dyDescent="0.3">
      <c r="A51" s="6" t="str">
        <f>RIGHT(RawData!A47,2)</f>
        <v>43</v>
      </c>
      <c r="B51" s="6" t="str">
        <f>RawData!B47</f>
        <v>수지로</v>
      </c>
      <c r="C51" s="6" t="str">
        <f>RawData!C47</f>
        <v>26-용인시-43</v>
      </c>
      <c r="D51" s="6" t="str">
        <f>RawData!D47</f>
        <v>양호</v>
      </c>
      <c r="E51" s="6" t="str">
        <f>RawData!E47</f>
        <v>거북등</v>
      </c>
      <c r="F51" s="6" t="str">
        <f>RawData!F47</f>
        <v>양호</v>
      </c>
      <c r="G51" s="6">
        <f>RawData!G47</f>
        <v>10.3</v>
      </c>
      <c r="H51" s="6" t="str">
        <f>RawData!H47</f>
        <v>-</v>
      </c>
      <c r="I51" s="6">
        <f t="shared" si="7"/>
        <v>0</v>
      </c>
      <c r="J51" s="6">
        <f t="shared" si="8"/>
        <v>3</v>
      </c>
      <c r="K51" s="6">
        <f t="shared" si="9"/>
        <v>0</v>
      </c>
      <c r="L51" s="6">
        <f t="shared" si="10"/>
        <v>1</v>
      </c>
      <c r="M51" s="6">
        <f t="shared" si="11"/>
        <v>0</v>
      </c>
      <c r="N51" s="6">
        <f t="shared" si="12"/>
        <v>4</v>
      </c>
      <c r="O51" s="6" t="str">
        <f t="shared" si="13"/>
        <v>일반</v>
      </c>
      <c r="P51" s="7" t="str">
        <f>RawData!P47</f>
        <v>-</v>
      </c>
    </row>
    <row r="52" spans="1:16" x14ac:dyDescent="0.3">
      <c r="A52" s="6" t="str">
        <f>RIGHT(RawData!A48,2)</f>
        <v>44</v>
      </c>
      <c r="B52" s="6" t="str">
        <f>RawData!B48</f>
        <v>수지로</v>
      </c>
      <c r="C52" s="6" t="str">
        <f>RawData!C48</f>
        <v>26-용인시-44</v>
      </c>
      <c r="D52" s="6" t="str">
        <f>RawData!D48</f>
        <v>양호</v>
      </c>
      <c r="E52" s="6" t="str">
        <f>RawData!E48</f>
        <v>거북등</v>
      </c>
      <c r="F52" s="6" t="str">
        <f>RawData!F48</f>
        <v>양호</v>
      </c>
      <c r="G52" s="6">
        <f>RawData!G48</f>
        <v>10.3</v>
      </c>
      <c r="H52" s="6" t="str">
        <f>RawData!H48</f>
        <v>-</v>
      </c>
      <c r="I52" s="6">
        <f t="shared" si="7"/>
        <v>0</v>
      </c>
      <c r="J52" s="6">
        <f t="shared" si="8"/>
        <v>3</v>
      </c>
      <c r="K52" s="6">
        <f t="shared" si="9"/>
        <v>0</v>
      </c>
      <c r="L52" s="6">
        <f t="shared" si="10"/>
        <v>1</v>
      </c>
      <c r="M52" s="6">
        <f t="shared" si="11"/>
        <v>0</v>
      </c>
      <c r="N52" s="6">
        <f t="shared" si="12"/>
        <v>4</v>
      </c>
      <c r="O52" s="6" t="str">
        <f t="shared" si="13"/>
        <v>일반</v>
      </c>
      <c r="P52" s="7" t="str">
        <f>RawData!P48</f>
        <v>-</v>
      </c>
    </row>
    <row r="53" spans="1:16" x14ac:dyDescent="0.3">
      <c r="A53" s="6" t="str">
        <f>RIGHT(RawData!A49,2)</f>
        <v>45</v>
      </c>
      <c r="B53" s="6" t="str">
        <f>RawData!B49</f>
        <v>수지로</v>
      </c>
      <c r="C53" s="6" t="str">
        <f>RawData!C49</f>
        <v>26-용인시-45</v>
      </c>
      <c r="D53" s="6" t="str">
        <f>RawData!D49</f>
        <v>양호</v>
      </c>
      <c r="E53" s="6" t="str">
        <f>RawData!E49</f>
        <v>거북등</v>
      </c>
      <c r="F53" s="6" t="str">
        <f>RawData!F49</f>
        <v>양호</v>
      </c>
      <c r="G53" s="6">
        <f>RawData!G49</f>
        <v>10.3</v>
      </c>
      <c r="H53" s="6" t="str">
        <f>RawData!H49</f>
        <v>-</v>
      </c>
      <c r="I53" s="6">
        <f t="shared" si="7"/>
        <v>0</v>
      </c>
      <c r="J53" s="6">
        <f t="shared" si="8"/>
        <v>3</v>
      </c>
      <c r="K53" s="6">
        <f t="shared" si="9"/>
        <v>0</v>
      </c>
      <c r="L53" s="6">
        <f t="shared" si="10"/>
        <v>1</v>
      </c>
      <c r="M53" s="6">
        <f t="shared" si="11"/>
        <v>0</v>
      </c>
      <c r="N53" s="6">
        <f t="shared" si="12"/>
        <v>4</v>
      </c>
      <c r="O53" s="6" t="str">
        <f t="shared" si="13"/>
        <v>일반</v>
      </c>
      <c r="P53" s="7" t="str">
        <f>RawData!P49</f>
        <v>-</v>
      </c>
    </row>
    <row r="54" spans="1:16" x14ac:dyDescent="0.3">
      <c r="A54" s="6" t="str">
        <f>RIGHT(RawData!A50,2)</f>
        <v>46</v>
      </c>
      <c r="B54" s="6" t="str">
        <f>RawData!B50</f>
        <v>수지로</v>
      </c>
      <c r="C54" s="6" t="str">
        <f>RawData!C50</f>
        <v>26-용인시-46</v>
      </c>
      <c r="D54" s="6" t="str">
        <f>RawData!D50</f>
        <v>양호</v>
      </c>
      <c r="E54" s="6" t="str">
        <f>RawData!E50</f>
        <v>거북등</v>
      </c>
      <c r="F54" s="6" t="str">
        <f>RawData!F50</f>
        <v>양호</v>
      </c>
      <c r="G54" s="6">
        <f>RawData!G50</f>
        <v>10.3</v>
      </c>
      <c r="H54" s="6" t="str">
        <f>RawData!H50</f>
        <v>-</v>
      </c>
      <c r="I54" s="6">
        <f t="shared" si="7"/>
        <v>0</v>
      </c>
      <c r="J54" s="6">
        <f t="shared" si="8"/>
        <v>3</v>
      </c>
      <c r="K54" s="6">
        <f t="shared" si="9"/>
        <v>0</v>
      </c>
      <c r="L54" s="6">
        <f t="shared" si="10"/>
        <v>1</v>
      </c>
      <c r="M54" s="6">
        <f t="shared" si="11"/>
        <v>0</v>
      </c>
      <c r="N54" s="6">
        <f t="shared" si="12"/>
        <v>4</v>
      </c>
      <c r="O54" s="6" t="str">
        <f t="shared" si="13"/>
        <v>일반</v>
      </c>
      <c r="P54" s="7" t="str">
        <f>RawData!P50</f>
        <v>-</v>
      </c>
    </row>
    <row r="55" spans="1:16" x14ac:dyDescent="0.3">
      <c r="A55" s="6" t="str">
        <f>RIGHT(RawData!A51,2)</f>
        <v>47</v>
      </c>
      <c r="B55" s="6" t="str">
        <f>RawData!B51</f>
        <v>수지로</v>
      </c>
      <c r="C55" s="6" t="str">
        <f>RawData!C51</f>
        <v>26-용인시-47</v>
      </c>
      <c r="D55" s="6" t="str">
        <f>RawData!D51</f>
        <v>양호</v>
      </c>
      <c r="E55" s="6" t="str">
        <f>RawData!E51</f>
        <v>종균열</v>
      </c>
      <c r="F55" s="6" t="str">
        <f>RawData!F51</f>
        <v>양호</v>
      </c>
      <c r="G55" s="6">
        <f>RawData!G51</f>
        <v>10.3</v>
      </c>
      <c r="H55" s="6" t="str">
        <f>RawData!H51</f>
        <v>-</v>
      </c>
      <c r="I55" s="6">
        <f t="shared" si="7"/>
        <v>0</v>
      </c>
      <c r="J55" s="6">
        <f t="shared" si="8"/>
        <v>1</v>
      </c>
      <c r="K55" s="6">
        <f t="shared" si="9"/>
        <v>0</v>
      </c>
      <c r="L55" s="6">
        <f t="shared" si="10"/>
        <v>1</v>
      </c>
      <c r="M55" s="6">
        <f t="shared" si="11"/>
        <v>0</v>
      </c>
      <c r="N55" s="6">
        <f t="shared" si="12"/>
        <v>2</v>
      </c>
      <c r="O55" s="6" t="str">
        <f t="shared" si="13"/>
        <v>일반</v>
      </c>
      <c r="P55" s="7" t="str">
        <f>RawData!P51</f>
        <v>-</v>
      </c>
    </row>
    <row r="56" spans="1:16" x14ac:dyDescent="0.3">
      <c r="A56" s="6" t="str">
        <f>RIGHT(RawData!A52,2)</f>
        <v>48</v>
      </c>
      <c r="B56" s="6" t="str">
        <f>RawData!B52</f>
        <v>수지로</v>
      </c>
      <c r="C56" s="6" t="str">
        <f>RawData!C52</f>
        <v>26-용인시-48</v>
      </c>
      <c r="D56" s="6" t="str">
        <f>RawData!D52</f>
        <v>양호</v>
      </c>
      <c r="E56" s="6" t="str">
        <f>RawData!E52</f>
        <v>-</v>
      </c>
      <c r="F56" s="6" t="str">
        <f>RawData!F52</f>
        <v>양호</v>
      </c>
      <c r="G56" s="6">
        <f>RawData!G52</f>
        <v>10.3</v>
      </c>
      <c r="H56" s="6" t="str">
        <f>RawData!H52</f>
        <v>-</v>
      </c>
      <c r="I56" s="6">
        <f t="shared" si="7"/>
        <v>0</v>
      </c>
      <c r="J56" s="6">
        <f t="shared" si="8"/>
        <v>0</v>
      </c>
      <c r="K56" s="6">
        <f t="shared" si="9"/>
        <v>0</v>
      </c>
      <c r="L56" s="6">
        <f t="shared" si="10"/>
        <v>1</v>
      </c>
      <c r="M56" s="6">
        <f t="shared" si="11"/>
        <v>0</v>
      </c>
      <c r="N56" s="6">
        <f t="shared" si="12"/>
        <v>1</v>
      </c>
      <c r="O56" s="6" t="str">
        <f t="shared" si="13"/>
        <v>일반</v>
      </c>
      <c r="P56" s="7" t="str">
        <f>RawData!P52</f>
        <v>5cm이하 침하</v>
      </c>
    </row>
    <row r="57" spans="1:16" x14ac:dyDescent="0.3">
      <c r="A57" s="6" t="str">
        <f>RIGHT(RawData!A53,2)</f>
        <v>49</v>
      </c>
      <c r="B57" s="6" t="str">
        <f>RawData!B53</f>
        <v>수지로</v>
      </c>
      <c r="C57" s="6" t="str">
        <f>RawData!C53</f>
        <v>26-용인시-49</v>
      </c>
      <c r="D57" s="6" t="str">
        <f>RawData!D53</f>
        <v>양호</v>
      </c>
      <c r="E57" s="6" t="str">
        <f>RawData!E53</f>
        <v>종횡균열</v>
      </c>
      <c r="F57" s="6" t="str">
        <f>RawData!F53</f>
        <v>양호</v>
      </c>
      <c r="G57" s="6">
        <f>RawData!G53</f>
        <v>10.3</v>
      </c>
      <c r="H57" s="6" t="str">
        <f>RawData!H53</f>
        <v>-</v>
      </c>
      <c r="I57" s="6">
        <f t="shared" si="7"/>
        <v>0</v>
      </c>
      <c r="J57" s="6">
        <f t="shared" si="8"/>
        <v>1</v>
      </c>
      <c r="K57" s="6">
        <f t="shared" si="9"/>
        <v>0</v>
      </c>
      <c r="L57" s="6">
        <f t="shared" si="10"/>
        <v>1</v>
      </c>
      <c r="M57" s="6">
        <f t="shared" si="11"/>
        <v>0</v>
      </c>
      <c r="N57" s="6">
        <f t="shared" si="12"/>
        <v>2</v>
      </c>
      <c r="O57" s="6" t="str">
        <f t="shared" si="13"/>
        <v>일반</v>
      </c>
      <c r="P57" s="7" t="str">
        <f>RawData!P53</f>
        <v>-</v>
      </c>
    </row>
    <row r="58" spans="1:16" x14ac:dyDescent="0.3">
      <c r="A58" s="6" t="str">
        <f>RIGHT(RawData!A54,2)</f>
        <v>50</v>
      </c>
      <c r="B58" s="6" t="str">
        <f>RawData!B54</f>
        <v>수지로</v>
      </c>
      <c r="C58" s="6" t="str">
        <f>RawData!C54</f>
        <v>26-용인시-50</v>
      </c>
      <c r="D58" s="6" t="str">
        <f>RawData!D54</f>
        <v>양호</v>
      </c>
      <c r="E58" s="6" t="str">
        <f>RawData!E54</f>
        <v>-</v>
      </c>
      <c r="F58" s="6" t="str">
        <f>RawData!F54</f>
        <v>양호</v>
      </c>
      <c r="G58" s="6">
        <f>RawData!G54</f>
        <v>10.3</v>
      </c>
      <c r="H58" s="6" t="str">
        <f>RawData!H54</f>
        <v>-</v>
      </c>
      <c r="I58" s="6">
        <f t="shared" si="7"/>
        <v>0</v>
      </c>
      <c r="J58" s="6">
        <f t="shared" si="8"/>
        <v>0</v>
      </c>
      <c r="K58" s="6">
        <f t="shared" si="9"/>
        <v>0</v>
      </c>
      <c r="L58" s="6">
        <f t="shared" si="10"/>
        <v>1</v>
      </c>
      <c r="M58" s="6">
        <f t="shared" si="11"/>
        <v>0</v>
      </c>
      <c r="N58" s="6">
        <f t="shared" si="12"/>
        <v>1</v>
      </c>
      <c r="O58" s="6" t="str">
        <f t="shared" si="13"/>
        <v>일반</v>
      </c>
      <c r="P58" s="7" t="str">
        <f>RawData!P54</f>
        <v>5cm이하 침하</v>
      </c>
    </row>
    <row r="59" spans="1:16" x14ac:dyDescent="0.3">
      <c r="A59" s="6" t="str">
        <f>RIGHT(RawData!A55,2)</f>
        <v>51</v>
      </c>
      <c r="B59" s="6" t="str">
        <f>RawData!B55</f>
        <v>수지로</v>
      </c>
      <c r="C59" s="6" t="str">
        <f>RawData!C55</f>
        <v>26-용인시-51</v>
      </c>
      <c r="D59" s="6" t="str">
        <f>RawData!D55</f>
        <v>양호</v>
      </c>
      <c r="E59" s="6" t="str">
        <f>RawData!E55</f>
        <v>거북등</v>
      </c>
      <c r="F59" s="6" t="str">
        <f>RawData!F55</f>
        <v>양호</v>
      </c>
      <c r="G59" s="6">
        <f>RawData!G55</f>
        <v>10.3</v>
      </c>
      <c r="H59" s="6" t="str">
        <f>RawData!H55</f>
        <v>-</v>
      </c>
      <c r="I59" s="6">
        <f t="shared" si="7"/>
        <v>0</v>
      </c>
      <c r="J59" s="6">
        <f t="shared" si="8"/>
        <v>3</v>
      </c>
      <c r="K59" s="6">
        <f t="shared" si="9"/>
        <v>0</v>
      </c>
      <c r="L59" s="6">
        <f t="shared" si="10"/>
        <v>1</v>
      </c>
      <c r="M59" s="6">
        <f t="shared" si="11"/>
        <v>0</v>
      </c>
      <c r="N59" s="6">
        <f t="shared" si="12"/>
        <v>4</v>
      </c>
      <c r="O59" s="6" t="str">
        <f t="shared" si="13"/>
        <v>일반</v>
      </c>
      <c r="P59" s="7" t="str">
        <f>RawData!P55</f>
        <v>-</v>
      </c>
    </row>
    <row r="60" spans="1:16" x14ac:dyDescent="0.3">
      <c r="A60" s="6" t="str">
        <f>RIGHT(RawData!A56,2)</f>
        <v>52</v>
      </c>
      <c r="B60" s="6" t="str">
        <f>RawData!B56</f>
        <v>수지로</v>
      </c>
      <c r="C60" s="6" t="str">
        <f>RawData!C56</f>
        <v>26-용인시-52</v>
      </c>
      <c r="D60" s="6" t="str">
        <f>RawData!D56</f>
        <v>양호</v>
      </c>
      <c r="E60" s="6" t="str">
        <f>RawData!E56</f>
        <v>거북등</v>
      </c>
      <c r="F60" s="6" t="str">
        <f>RawData!F56</f>
        <v>양호</v>
      </c>
      <c r="G60" s="6">
        <f>RawData!G56</f>
        <v>10.3</v>
      </c>
      <c r="H60" s="6" t="str">
        <f>RawData!H56</f>
        <v>-</v>
      </c>
      <c r="I60" s="6">
        <f t="shared" si="7"/>
        <v>0</v>
      </c>
      <c r="J60" s="6">
        <f t="shared" si="8"/>
        <v>3</v>
      </c>
      <c r="K60" s="6">
        <f t="shared" si="9"/>
        <v>0</v>
      </c>
      <c r="L60" s="6">
        <f t="shared" si="10"/>
        <v>1</v>
      </c>
      <c r="M60" s="6">
        <f t="shared" si="11"/>
        <v>0</v>
      </c>
      <c r="N60" s="6">
        <f t="shared" si="12"/>
        <v>4</v>
      </c>
      <c r="O60" s="6" t="str">
        <f t="shared" si="13"/>
        <v>일반</v>
      </c>
      <c r="P60" s="7" t="str">
        <f>RawData!P56</f>
        <v>-</v>
      </c>
    </row>
    <row r="61" spans="1:16" x14ac:dyDescent="0.3">
      <c r="A61" s="6" t="str">
        <f>RIGHT(RawData!A57,2)</f>
        <v>53</v>
      </c>
      <c r="B61" s="6" t="str">
        <f>RawData!B57</f>
        <v>수지로</v>
      </c>
      <c r="C61" s="6" t="str">
        <f>RawData!C57</f>
        <v>26-용인시-53</v>
      </c>
      <c r="D61" s="6" t="str">
        <f>RawData!D57</f>
        <v>양호</v>
      </c>
      <c r="E61" s="6" t="str">
        <f>RawData!E57</f>
        <v>거북등</v>
      </c>
      <c r="F61" s="6" t="str">
        <f>RawData!F57</f>
        <v>양호</v>
      </c>
      <c r="G61" s="6">
        <f>RawData!G57</f>
        <v>10.3</v>
      </c>
      <c r="H61" s="6" t="str">
        <f>RawData!H57</f>
        <v>-</v>
      </c>
      <c r="I61" s="6">
        <f t="shared" si="7"/>
        <v>0</v>
      </c>
      <c r="J61" s="6">
        <f t="shared" si="8"/>
        <v>3</v>
      </c>
      <c r="K61" s="6">
        <f t="shared" si="9"/>
        <v>0</v>
      </c>
      <c r="L61" s="6">
        <f t="shared" si="10"/>
        <v>1</v>
      </c>
      <c r="M61" s="6">
        <f t="shared" si="11"/>
        <v>0</v>
      </c>
      <c r="N61" s="6">
        <f t="shared" si="12"/>
        <v>4</v>
      </c>
      <c r="O61" s="6" t="str">
        <f t="shared" si="13"/>
        <v>일반</v>
      </c>
      <c r="P61" s="7" t="str">
        <f>RawData!P57</f>
        <v>-</v>
      </c>
    </row>
    <row r="62" spans="1:16" x14ac:dyDescent="0.3">
      <c r="A62" s="6" t="str">
        <f>RIGHT(RawData!A58,2)</f>
        <v>54</v>
      </c>
      <c r="B62" s="6" t="str">
        <f>RawData!B58</f>
        <v>수지로</v>
      </c>
      <c r="C62" s="6" t="str">
        <f>RawData!C58</f>
        <v>26-용인시-54</v>
      </c>
      <c r="D62" s="6" t="str">
        <f>RawData!D58</f>
        <v>양호</v>
      </c>
      <c r="E62" s="6" t="str">
        <f>RawData!E58</f>
        <v>-</v>
      </c>
      <c r="F62" s="6" t="str">
        <f>RawData!F58</f>
        <v>양호</v>
      </c>
      <c r="G62" s="6">
        <f>RawData!G58</f>
        <v>10.3</v>
      </c>
      <c r="H62" s="6" t="str">
        <f>RawData!H58</f>
        <v>-</v>
      </c>
      <c r="I62" s="6">
        <f t="shared" si="7"/>
        <v>0</v>
      </c>
      <c r="J62" s="6">
        <f t="shared" si="8"/>
        <v>0</v>
      </c>
      <c r="K62" s="6">
        <f t="shared" si="9"/>
        <v>0</v>
      </c>
      <c r="L62" s="6">
        <f t="shared" si="10"/>
        <v>1</v>
      </c>
      <c r="M62" s="6">
        <f t="shared" si="11"/>
        <v>0</v>
      </c>
      <c r="N62" s="6">
        <f t="shared" si="12"/>
        <v>1</v>
      </c>
      <c r="O62" s="6" t="str">
        <f t="shared" si="13"/>
        <v>일반</v>
      </c>
      <c r="P62" s="7" t="str">
        <f>RawData!P58</f>
        <v>5cm이하 침하</v>
      </c>
    </row>
    <row r="63" spans="1:16" x14ac:dyDescent="0.3">
      <c r="A63" s="6" t="str">
        <f>RIGHT(RawData!A59,2)</f>
        <v>55</v>
      </c>
      <c r="B63" s="6" t="str">
        <f>RawData!B59</f>
        <v>수지로</v>
      </c>
      <c r="C63" s="6" t="str">
        <f>RawData!C59</f>
        <v>26-용인시-55</v>
      </c>
      <c r="D63" s="6" t="str">
        <f>RawData!D59</f>
        <v>양호</v>
      </c>
      <c r="E63" s="6" t="str">
        <f>RawData!E59</f>
        <v>거북등</v>
      </c>
      <c r="F63" s="6" t="str">
        <f>RawData!F59</f>
        <v>양호</v>
      </c>
      <c r="G63" s="6">
        <f>RawData!G59</f>
        <v>10.3</v>
      </c>
      <c r="H63" s="6" t="str">
        <f>RawData!H59</f>
        <v>-</v>
      </c>
      <c r="I63" s="6">
        <f t="shared" si="7"/>
        <v>0</v>
      </c>
      <c r="J63" s="6">
        <f t="shared" si="8"/>
        <v>3</v>
      </c>
      <c r="K63" s="6">
        <f t="shared" si="9"/>
        <v>0</v>
      </c>
      <c r="L63" s="6">
        <f t="shared" si="10"/>
        <v>1</v>
      </c>
      <c r="M63" s="6">
        <f t="shared" si="11"/>
        <v>0</v>
      </c>
      <c r="N63" s="6">
        <f t="shared" si="12"/>
        <v>4</v>
      </c>
      <c r="O63" s="6" t="str">
        <f t="shared" si="13"/>
        <v>일반</v>
      </c>
      <c r="P63" s="7" t="str">
        <f>RawData!P59</f>
        <v>-</v>
      </c>
    </row>
    <row r="64" spans="1:16" x14ac:dyDescent="0.3">
      <c r="A64" s="6" t="str">
        <f>RIGHT(RawData!A60,2)</f>
        <v>56</v>
      </c>
      <c r="B64" s="6" t="str">
        <f>RawData!B60</f>
        <v>수지로</v>
      </c>
      <c r="C64" s="6" t="str">
        <f>RawData!C60</f>
        <v>26-용인시-56</v>
      </c>
      <c r="D64" s="6" t="str">
        <f>RawData!D60</f>
        <v>양호</v>
      </c>
      <c r="E64" s="6" t="str">
        <f>RawData!E60</f>
        <v>거북등</v>
      </c>
      <c r="F64" s="6" t="str">
        <f>RawData!F60</f>
        <v>양호</v>
      </c>
      <c r="G64" s="6">
        <f>RawData!G60</f>
        <v>10.3</v>
      </c>
      <c r="H64" s="6" t="str">
        <f>RawData!H60</f>
        <v>-</v>
      </c>
      <c r="I64" s="6">
        <f t="shared" si="7"/>
        <v>0</v>
      </c>
      <c r="J64" s="6">
        <f t="shared" si="8"/>
        <v>3</v>
      </c>
      <c r="K64" s="6">
        <f t="shared" si="9"/>
        <v>0</v>
      </c>
      <c r="L64" s="6">
        <f t="shared" si="10"/>
        <v>1</v>
      </c>
      <c r="M64" s="6">
        <f t="shared" si="11"/>
        <v>0</v>
      </c>
      <c r="N64" s="6">
        <f t="shared" si="12"/>
        <v>4</v>
      </c>
      <c r="O64" s="6" t="str">
        <f t="shared" si="13"/>
        <v>일반</v>
      </c>
      <c r="P64" s="7" t="str">
        <f>RawData!P60</f>
        <v>-</v>
      </c>
    </row>
    <row r="65" spans="1:16" x14ac:dyDescent="0.3">
      <c r="A65" s="6" t="str">
        <f>RIGHT(RawData!A61,2)</f>
        <v>57</v>
      </c>
      <c r="B65" s="6" t="str">
        <f>RawData!B61</f>
        <v>수지로</v>
      </c>
      <c r="C65" s="6" t="str">
        <f>RawData!C61</f>
        <v>26-용인시-57</v>
      </c>
      <c r="D65" s="6" t="str">
        <f>RawData!D61</f>
        <v>양호</v>
      </c>
      <c r="E65" s="6" t="str">
        <f>RawData!E61</f>
        <v>거북등</v>
      </c>
      <c r="F65" s="6" t="str">
        <f>RawData!F61</f>
        <v>양호</v>
      </c>
      <c r="G65" s="6">
        <f>RawData!G61</f>
        <v>10.3</v>
      </c>
      <c r="H65" s="6" t="str">
        <f>RawData!H61</f>
        <v>-</v>
      </c>
      <c r="I65" s="6">
        <f t="shared" si="7"/>
        <v>0</v>
      </c>
      <c r="J65" s="6">
        <f t="shared" si="8"/>
        <v>3</v>
      </c>
      <c r="K65" s="6">
        <f t="shared" si="9"/>
        <v>0</v>
      </c>
      <c r="L65" s="6">
        <f t="shared" si="10"/>
        <v>1</v>
      </c>
      <c r="M65" s="6">
        <f t="shared" si="11"/>
        <v>0</v>
      </c>
      <c r="N65" s="6">
        <f t="shared" si="12"/>
        <v>4</v>
      </c>
      <c r="O65" s="6" t="str">
        <f t="shared" si="13"/>
        <v>일반</v>
      </c>
      <c r="P65" s="7" t="str">
        <f>RawData!P61</f>
        <v>-</v>
      </c>
    </row>
    <row r="66" spans="1:16" x14ac:dyDescent="0.3">
      <c r="A66" s="6" t="str">
        <f>RIGHT(RawData!A62,2)</f>
        <v>58</v>
      </c>
      <c r="B66" s="6" t="str">
        <f>RawData!B62</f>
        <v>수지로</v>
      </c>
      <c r="C66" s="6" t="str">
        <f>RawData!C62</f>
        <v>26-용인시-58</v>
      </c>
      <c r="D66" s="6" t="str">
        <f>RawData!D62</f>
        <v>양호</v>
      </c>
      <c r="E66" s="6" t="str">
        <f>RawData!E62</f>
        <v>거북등</v>
      </c>
      <c r="F66" s="6" t="str">
        <f>RawData!F62</f>
        <v>양호</v>
      </c>
      <c r="G66" s="6">
        <f>RawData!G62</f>
        <v>10.3</v>
      </c>
      <c r="H66" s="6" t="str">
        <f>RawData!H62</f>
        <v>-</v>
      </c>
      <c r="I66" s="6">
        <f t="shared" si="7"/>
        <v>0</v>
      </c>
      <c r="J66" s="6">
        <f t="shared" si="8"/>
        <v>3</v>
      </c>
      <c r="K66" s="6">
        <f t="shared" si="9"/>
        <v>0</v>
      </c>
      <c r="L66" s="6">
        <f t="shared" si="10"/>
        <v>1</v>
      </c>
      <c r="M66" s="6">
        <f t="shared" si="11"/>
        <v>0</v>
      </c>
      <c r="N66" s="6">
        <f t="shared" si="12"/>
        <v>4</v>
      </c>
      <c r="O66" s="6" t="str">
        <f t="shared" si="13"/>
        <v>일반</v>
      </c>
      <c r="P66" s="7" t="str">
        <f>RawData!P62</f>
        <v>-</v>
      </c>
    </row>
    <row r="67" spans="1:16" x14ac:dyDescent="0.3">
      <c r="A67" s="6" t="str">
        <f>RIGHT(RawData!A63,2)</f>
        <v>59</v>
      </c>
      <c r="B67" s="6" t="str">
        <f>RawData!B63</f>
        <v>광교중앙로</v>
      </c>
      <c r="C67" s="6" t="str">
        <f>RawData!C63</f>
        <v>26-용인시-59</v>
      </c>
      <c r="D67" s="6" t="str">
        <f>RawData!D63</f>
        <v>양호</v>
      </c>
      <c r="E67" s="6" t="str">
        <f>RawData!E63</f>
        <v>종균열</v>
      </c>
      <c r="F67" s="6" t="str">
        <f>RawData!F63</f>
        <v>양호</v>
      </c>
      <c r="G67" s="6">
        <f>RawData!G63</f>
        <v>10.3</v>
      </c>
      <c r="H67" s="6" t="str">
        <f>RawData!H63</f>
        <v>-</v>
      </c>
      <c r="I67" s="6">
        <f t="shared" si="7"/>
        <v>0</v>
      </c>
      <c r="J67" s="6">
        <f t="shared" si="8"/>
        <v>1</v>
      </c>
      <c r="K67" s="6">
        <f t="shared" si="9"/>
        <v>0</v>
      </c>
      <c r="L67" s="6">
        <f t="shared" si="10"/>
        <v>1</v>
      </c>
      <c r="M67" s="6">
        <f t="shared" si="11"/>
        <v>0</v>
      </c>
      <c r="N67" s="6">
        <f t="shared" si="12"/>
        <v>2</v>
      </c>
      <c r="O67" s="6" t="str">
        <f t="shared" si="13"/>
        <v>일반</v>
      </c>
      <c r="P67" s="7" t="str">
        <f>RawData!P63</f>
        <v>-</v>
      </c>
    </row>
    <row r="68" spans="1:16" x14ac:dyDescent="0.3">
      <c r="A68" s="6" t="str">
        <f>RIGHT(RawData!A64,2)</f>
        <v>60</v>
      </c>
      <c r="B68" s="6" t="str">
        <f>RawData!B64</f>
        <v>광교중앙로</v>
      </c>
      <c r="C68" s="6" t="str">
        <f>RawData!C64</f>
        <v>26-용인시-60</v>
      </c>
      <c r="D68" s="6" t="str">
        <f>RawData!D64</f>
        <v>양호</v>
      </c>
      <c r="E68" s="6" t="str">
        <f>RawData!E64</f>
        <v>거북등</v>
      </c>
      <c r="F68" s="6" t="str">
        <f>RawData!F64</f>
        <v>양호</v>
      </c>
      <c r="G68" s="6">
        <f>RawData!G64</f>
        <v>10.3</v>
      </c>
      <c r="H68" s="6" t="str">
        <f>RawData!H64</f>
        <v>-</v>
      </c>
      <c r="I68" s="6">
        <f t="shared" si="7"/>
        <v>0</v>
      </c>
      <c r="J68" s="6">
        <f t="shared" si="8"/>
        <v>3</v>
      </c>
      <c r="K68" s="6">
        <f t="shared" si="9"/>
        <v>0</v>
      </c>
      <c r="L68" s="6">
        <f t="shared" si="10"/>
        <v>1</v>
      </c>
      <c r="M68" s="6">
        <f t="shared" si="11"/>
        <v>0</v>
      </c>
      <c r="N68" s="6">
        <f t="shared" si="12"/>
        <v>4</v>
      </c>
      <c r="O68" s="6" t="str">
        <f t="shared" si="13"/>
        <v>일반</v>
      </c>
      <c r="P68" s="7" t="str">
        <f>RawData!P64</f>
        <v>-</v>
      </c>
    </row>
    <row r="69" spans="1:16" x14ac:dyDescent="0.3">
      <c r="A69" s="6" t="str">
        <f>RIGHT(RawData!A65,2)</f>
        <v>61</v>
      </c>
      <c r="B69" s="6" t="str">
        <f>RawData!B65</f>
        <v>광교중앙로</v>
      </c>
      <c r="C69" s="6" t="str">
        <f>RawData!C65</f>
        <v>26-용인시-61</v>
      </c>
      <c r="D69" s="6" t="str">
        <f>RawData!D65</f>
        <v>양호</v>
      </c>
      <c r="E69" s="6" t="str">
        <f>RawData!E65</f>
        <v>거북등</v>
      </c>
      <c r="F69" s="6" t="str">
        <f>RawData!F65</f>
        <v>양호</v>
      </c>
      <c r="G69" s="6">
        <f>RawData!G65</f>
        <v>10.3</v>
      </c>
      <c r="H69" s="6" t="str">
        <f>RawData!H65</f>
        <v>-</v>
      </c>
      <c r="I69" s="6">
        <f t="shared" si="7"/>
        <v>0</v>
      </c>
      <c r="J69" s="6">
        <f t="shared" si="8"/>
        <v>3</v>
      </c>
      <c r="K69" s="6">
        <f t="shared" si="9"/>
        <v>0</v>
      </c>
      <c r="L69" s="6">
        <f t="shared" si="10"/>
        <v>1</v>
      </c>
      <c r="M69" s="6">
        <f t="shared" si="11"/>
        <v>0</v>
      </c>
      <c r="N69" s="6">
        <f t="shared" si="12"/>
        <v>4</v>
      </c>
      <c r="O69" s="6" t="str">
        <f t="shared" si="13"/>
        <v>일반</v>
      </c>
      <c r="P69" s="7" t="str">
        <f>RawData!P65</f>
        <v>-</v>
      </c>
    </row>
    <row r="70" spans="1:16" x14ac:dyDescent="0.3">
      <c r="A70" s="6" t="str">
        <f>RIGHT(RawData!A66,2)</f>
        <v>62</v>
      </c>
      <c r="B70" s="6" t="str">
        <f>RawData!B66</f>
        <v>광교중앙로</v>
      </c>
      <c r="C70" s="6" t="str">
        <f>RawData!C66</f>
        <v>26-용인시-62</v>
      </c>
      <c r="D70" s="6" t="str">
        <f>RawData!D66</f>
        <v>양호</v>
      </c>
      <c r="E70" s="6" t="str">
        <f>RawData!E66</f>
        <v>종균열</v>
      </c>
      <c r="F70" s="6" t="str">
        <f>RawData!F66</f>
        <v>양호</v>
      </c>
      <c r="G70" s="6">
        <f>RawData!G66</f>
        <v>10.3</v>
      </c>
      <c r="H70" s="6" t="str">
        <f>RawData!H66</f>
        <v>-</v>
      </c>
      <c r="I70" s="6">
        <f t="shared" si="7"/>
        <v>0</v>
      </c>
      <c r="J70" s="6">
        <f t="shared" si="8"/>
        <v>1</v>
      </c>
      <c r="K70" s="6">
        <f t="shared" si="9"/>
        <v>0</v>
      </c>
      <c r="L70" s="6">
        <f t="shared" si="10"/>
        <v>1</v>
      </c>
      <c r="M70" s="6">
        <f t="shared" si="11"/>
        <v>0</v>
      </c>
      <c r="N70" s="6">
        <f t="shared" si="12"/>
        <v>2</v>
      </c>
      <c r="O70" s="6" t="str">
        <f t="shared" si="13"/>
        <v>일반</v>
      </c>
      <c r="P70" s="7" t="str">
        <f>RawData!P66</f>
        <v>-</v>
      </c>
    </row>
    <row r="71" spans="1:16" x14ac:dyDescent="0.3">
      <c r="A71" s="6" t="str">
        <f>RIGHT(RawData!A67,2)</f>
        <v>63</v>
      </c>
      <c r="B71" s="6" t="str">
        <f>RawData!B67</f>
        <v>광교중앙로</v>
      </c>
      <c r="C71" s="6" t="str">
        <f>RawData!C67</f>
        <v>26-용인시-63</v>
      </c>
      <c r="D71" s="6" t="str">
        <f>RawData!D67</f>
        <v>양호</v>
      </c>
      <c r="E71" s="6" t="str">
        <f>RawData!E67</f>
        <v>-</v>
      </c>
      <c r="F71" s="6" t="str">
        <f>RawData!F67</f>
        <v>양호</v>
      </c>
      <c r="G71" s="6">
        <f>RawData!G67</f>
        <v>10.3</v>
      </c>
      <c r="H71" s="6" t="str">
        <f>RawData!H67</f>
        <v>-</v>
      </c>
      <c r="I71" s="6">
        <f t="shared" si="7"/>
        <v>0</v>
      </c>
      <c r="J71" s="6">
        <f t="shared" si="8"/>
        <v>0</v>
      </c>
      <c r="K71" s="6">
        <f t="shared" si="9"/>
        <v>0</v>
      </c>
      <c r="L71" s="6">
        <f t="shared" si="10"/>
        <v>1</v>
      </c>
      <c r="M71" s="6">
        <f t="shared" si="11"/>
        <v>0</v>
      </c>
      <c r="N71" s="6">
        <f t="shared" si="12"/>
        <v>1</v>
      </c>
      <c r="O71" s="6" t="str">
        <f t="shared" si="13"/>
        <v>일반</v>
      </c>
      <c r="P71" s="7" t="str">
        <f>RawData!P67</f>
        <v>5cm이하 보도침하</v>
      </c>
    </row>
    <row r="72" spans="1:16" x14ac:dyDescent="0.3">
      <c r="A72" s="6" t="str">
        <f>RIGHT(RawData!A68,2)</f>
        <v>64</v>
      </c>
      <c r="B72" s="6" t="str">
        <f>RawData!B68</f>
        <v>광교중앙로</v>
      </c>
      <c r="C72" s="6" t="str">
        <f>RawData!C68</f>
        <v>26-용인시-64</v>
      </c>
      <c r="D72" s="6" t="str">
        <f>RawData!D68</f>
        <v>양호</v>
      </c>
      <c r="E72" s="6" t="str">
        <f>RawData!E68</f>
        <v>거북등</v>
      </c>
      <c r="F72" s="6" t="str">
        <f>RawData!F68</f>
        <v>양호</v>
      </c>
      <c r="G72" s="6">
        <f>RawData!G68</f>
        <v>10.3</v>
      </c>
      <c r="H72" s="6" t="str">
        <f>RawData!H68</f>
        <v>-</v>
      </c>
      <c r="I72" s="6">
        <f t="shared" si="7"/>
        <v>0</v>
      </c>
      <c r="J72" s="6">
        <f t="shared" si="8"/>
        <v>3</v>
      </c>
      <c r="K72" s="6">
        <f t="shared" si="9"/>
        <v>0</v>
      </c>
      <c r="L72" s="6">
        <f t="shared" si="10"/>
        <v>1</v>
      </c>
      <c r="M72" s="6">
        <f t="shared" si="11"/>
        <v>0</v>
      </c>
      <c r="N72" s="6">
        <f t="shared" si="12"/>
        <v>4</v>
      </c>
      <c r="O72" s="6" t="str">
        <f t="shared" si="13"/>
        <v>일반</v>
      </c>
      <c r="P72" s="7" t="str">
        <f>RawData!P68</f>
        <v>-</v>
      </c>
    </row>
    <row r="73" spans="1:16" x14ac:dyDescent="0.3">
      <c r="A73" s="6" t="str">
        <f>RIGHT(RawData!A69,2)</f>
        <v>65</v>
      </c>
      <c r="B73" s="6" t="str">
        <f>RawData!B69</f>
        <v>광교중앙로</v>
      </c>
      <c r="C73" s="6" t="str">
        <f>RawData!C69</f>
        <v>26-용인시-65</v>
      </c>
      <c r="D73" s="6" t="str">
        <f>RawData!D69</f>
        <v>양호</v>
      </c>
      <c r="E73" s="6" t="str">
        <f>RawData!E69</f>
        <v>거북등</v>
      </c>
      <c r="F73" s="6" t="str">
        <f>RawData!F69</f>
        <v>양호</v>
      </c>
      <c r="G73" s="6">
        <f>RawData!G69</f>
        <v>10.3</v>
      </c>
      <c r="H73" s="6" t="str">
        <f>RawData!H69</f>
        <v>-</v>
      </c>
      <c r="I73" s="6">
        <f t="shared" si="7"/>
        <v>0</v>
      </c>
      <c r="J73" s="6">
        <f t="shared" si="8"/>
        <v>3</v>
      </c>
      <c r="K73" s="6">
        <f t="shared" si="9"/>
        <v>0</v>
      </c>
      <c r="L73" s="6">
        <f t="shared" si="10"/>
        <v>1</v>
      </c>
      <c r="M73" s="6">
        <f t="shared" si="11"/>
        <v>0</v>
      </c>
      <c r="N73" s="6">
        <f t="shared" si="12"/>
        <v>4</v>
      </c>
      <c r="O73" s="6" t="str">
        <f t="shared" si="13"/>
        <v>일반</v>
      </c>
      <c r="P73" s="7" t="str">
        <f>RawData!P69</f>
        <v>-</v>
      </c>
    </row>
    <row r="74" spans="1:16" x14ac:dyDescent="0.3">
      <c r="A74" s="6" t="str">
        <f>RIGHT(RawData!A70,2)</f>
        <v>66</v>
      </c>
      <c r="B74" s="6" t="str">
        <f>RawData!B70</f>
        <v>광교중앙로</v>
      </c>
      <c r="C74" s="6" t="str">
        <f>RawData!C70</f>
        <v>26-용인시-66</v>
      </c>
      <c r="D74" s="6" t="str">
        <f>RawData!D70</f>
        <v>양호</v>
      </c>
      <c r="E74" s="6" t="str">
        <f>RawData!E70</f>
        <v>거북등</v>
      </c>
      <c r="F74" s="6" t="str">
        <f>RawData!F70</f>
        <v>양호</v>
      </c>
      <c r="G74" s="6">
        <f>RawData!G70</f>
        <v>10.3</v>
      </c>
      <c r="H74" s="6" t="str">
        <f>RawData!H70</f>
        <v>-</v>
      </c>
      <c r="I74" s="6">
        <f t="shared" si="7"/>
        <v>0</v>
      </c>
      <c r="J74" s="6">
        <f t="shared" si="8"/>
        <v>3</v>
      </c>
      <c r="K74" s="6">
        <f t="shared" si="9"/>
        <v>0</v>
      </c>
      <c r="L74" s="6">
        <f t="shared" si="10"/>
        <v>1</v>
      </c>
      <c r="M74" s="6">
        <f t="shared" si="11"/>
        <v>0</v>
      </c>
      <c r="N74" s="6">
        <f t="shared" si="12"/>
        <v>4</v>
      </c>
      <c r="O74" s="6" t="str">
        <f t="shared" si="13"/>
        <v>일반</v>
      </c>
      <c r="P74" s="7" t="str">
        <f>RawData!P70</f>
        <v>-</v>
      </c>
    </row>
    <row r="75" spans="1:16" x14ac:dyDescent="0.3">
      <c r="A75" s="6" t="str">
        <f>RIGHT(RawData!A71,2)</f>
        <v>67</v>
      </c>
      <c r="B75" s="6" t="str">
        <f>RawData!B71</f>
        <v>광교중앙로</v>
      </c>
      <c r="C75" s="6" t="str">
        <f>RawData!C71</f>
        <v>26-용인시-67</v>
      </c>
      <c r="D75" s="6" t="str">
        <f>RawData!D71</f>
        <v>양호</v>
      </c>
      <c r="E75" s="6" t="str">
        <f>RawData!E71</f>
        <v>거북등</v>
      </c>
      <c r="F75" s="6" t="str">
        <f>RawData!F71</f>
        <v>양호</v>
      </c>
      <c r="G75" s="6">
        <f>RawData!G71</f>
        <v>10.3</v>
      </c>
      <c r="H75" s="6" t="str">
        <f>RawData!H71</f>
        <v>-</v>
      </c>
      <c r="I75" s="6">
        <f t="shared" si="7"/>
        <v>0</v>
      </c>
      <c r="J75" s="6">
        <f t="shared" si="8"/>
        <v>3</v>
      </c>
      <c r="K75" s="6">
        <f t="shared" si="9"/>
        <v>0</v>
      </c>
      <c r="L75" s="6">
        <f t="shared" si="10"/>
        <v>1</v>
      </c>
      <c r="M75" s="6">
        <f t="shared" si="11"/>
        <v>0</v>
      </c>
      <c r="N75" s="6">
        <f t="shared" si="12"/>
        <v>4</v>
      </c>
      <c r="O75" s="6" t="str">
        <f t="shared" si="13"/>
        <v>일반</v>
      </c>
      <c r="P75" s="7" t="str">
        <f>RawData!P71</f>
        <v>5cm이하 침하</v>
      </c>
    </row>
    <row r="76" spans="1:16" x14ac:dyDescent="0.3">
      <c r="A76" s="6" t="str">
        <f>RIGHT(RawData!A72,2)</f>
        <v>68</v>
      </c>
      <c r="B76" s="6" t="str">
        <f>RawData!B72</f>
        <v>광교중앙로</v>
      </c>
      <c r="C76" s="6" t="str">
        <f>RawData!C72</f>
        <v>26-용인시-68</v>
      </c>
      <c r="D76" s="6" t="str">
        <f>RawData!D72</f>
        <v>양호</v>
      </c>
      <c r="E76" s="6" t="str">
        <f>RawData!E72</f>
        <v>거북등</v>
      </c>
      <c r="F76" s="6" t="str">
        <f>RawData!F72</f>
        <v>양호</v>
      </c>
      <c r="G76" s="6">
        <f>RawData!G72</f>
        <v>10.3</v>
      </c>
      <c r="H76" s="6" t="str">
        <f>RawData!H72</f>
        <v>-</v>
      </c>
      <c r="I76" s="6">
        <f t="shared" si="7"/>
        <v>0</v>
      </c>
      <c r="J76" s="6">
        <f t="shared" si="8"/>
        <v>3</v>
      </c>
      <c r="K76" s="6">
        <f t="shared" si="9"/>
        <v>0</v>
      </c>
      <c r="L76" s="6">
        <f t="shared" si="10"/>
        <v>1</v>
      </c>
      <c r="M76" s="6">
        <f t="shared" si="11"/>
        <v>0</v>
      </c>
      <c r="N76" s="6">
        <f t="shared" si="12"/>
        <v>4</v>
      </c>
      <c r="O76" s="6" t="str">
        <f t="shared" si="13"/>
        <v>일반</v>
      </c>
      <c r="P76" s="7" t="str">
        <f>RawData!P72</f>
        <v>-</v>
      </c>
    </row>
    <row r="77" spans="1:16" x14ac:dyDescent="0.3">
      <c r="A77" s="6" t="str">
        <f>RIGHT(RawData!A73,2)</f>
        <v>69</v>
      </c>
      <c r="B77" s="6" t="str">
        <f>RawData!B73</f>
        <v>광교중앙로</v>
      </c>
      <c r="C77" s="6" t="str">
        <f>RawData!C73</f>
        <v>26-용인시-69</v>
      </c>
      <c r="D77" s="6" t="str">
        <f>RawData!D73</f>
        <v>양호</v>
      </c>
      <c r="E77" s="6" t="str">
        <f>RawData!E73</f>
        <v>거북등</v>
      </c>
      <c r="F77" s="6" t="str">
        <f>RawData!F73</f>
        <v>양호</v>
      </c>
      <c r="G77" s="6">
        <f>RawData!G73</f>
        <v>10.3</v>
      </c>
      <c r="H77" s="6" t="str">
        <f>RawData!H73</f>
        <v>-</v>
      </c>
      <c r="I77" s="6">
        <f t="shared" si="7"/>
        <v>0</v>
      </c>
      <c r="J77" s="6">
        <f t="shared" si="8"/>
        <v>3</v>
      </c>
      <c r="K77" s="6">
        <f t="shared" si="9"/>
        <v>0</v>
      </c>
      <c r="L77" s="6">
        <f t="shared" si="10"/>
        <v>1</v>
      </c>
      <c r="M77" s="6">
        <f t="shared" si="11"/>
        <v>0</v>
      </c>
      <c r="N77" s="6">
        <f t="shared" si="12"/>
        <v>4</v>
      </c>
      <c r="O77" s="6" t="str">
        <f t="shared" si="13"/>
        <v>일반</v>
      </c>
      <c r="P77" s="7" t="str">
        <f>RawData!P73</f>
        <v>-</v>
      </c>
    </row>
    <row r="78" spans="1:16" x14ac:dyDescent="0.3">
      <c r="A78" s="6" t="str">
        <f>RIGHT(RawData!A74,2)</f>
        <v>70</v>
      </c>
      <c r="B78" s="6" t="str">
        <f>RawData!B74</f>
        <v>광교중앙로</v>
      </c>
      <c r="C78" s="6" t="str">
        <f>RawData!C74</f>
        <v>26-용인시-70</v>
      </c>
      <c r="D78" s="6" t="str">
        <f>RawData!D74</f>
        <v>양호</v>
      </c>
      <c r="E78" s="6" t="str">
        <f>RawData!E74</f>
        <v>-</v>
      </c>
      <c r="F78" s="6" t="str">
        <f>RawData!F74</f>
        <v>양호</v>
      </c>
      <c r="G78" s="6">
        <f>RawData!G74</f>
        <v>10.3</v>
      </c>
      <c r="H78" s="6" t="str">
        <f>RawData!H74</f>
        <v>-</v>
      </c>
      <c r="I78" s="6">
        <f t="shared" si="7"/>
        <v>0</v>
      </c>
      <c r="J78" s="6">
        <f t="shared" si="8"/>
        <v>0</v>
      </c>
      <c r="K78" s="6">
        <f t="shared" si="9"/>
        <v>0</v>
      </c>
      <c r="L78" s="6">
        <f t="shared" si="10"/>
        <v>1</v>
      </c>
      <c r="M78" s="6">
        <f t="shared" si="11"/>
        <v>0</v>
      </c>
      <c r="N78" s="6">
        <f t="shared" si="12"/>
        <v>1</v>
      </c>
      <c r="O78" s="6" t="str">
        <f t="shared" si="13"/>
        <v>일반</v>
      </c>
      <c r="P78" s="7" t="str">
        <f>RawData!P74</f>
        <v>-</v>
      </c>
    </row>
    <row r="79" spans="1:16" x14ac:dyDescent="0.3">
      <c r="A79" s="6" t="str">
        <f>RIGHT(RawData!A75,2)</f>
        <v>71</v>
      </c>
      <c r="B79" s="6" t="str">
        <f>RawData!B75</f>
        <v>광교중앙로</v>
      </c>
      <c r="C79" s="6" t="str">
        <f>RawData!C75</f>
        <v>26-용인시-71</v>
      </c>
      <c r="D79" s="6" t="str">
        <f>RawData!D75</f>
        <v>양호</v>
      </c>
      <c r="E79" s="6" t="str">
        <f>RawData!E75</f>
        <v>거북등</v>
      </c>
      <c r="F79" s="6" t="str">
        <f>RawData!F75</f>
        <v>양호</v>
      </c>
      <c r="G79" s="6">
        <f>RawData!G75</f>
        <v>10.3</v>
      </c>
      <c r="H79" s="6" t="str">
        <f>RawData!H75</f>
        <v>-</v>
      </c>
      <c r="I79" s="6">
        <f t="shared" si="7"/>
        <v>0</v>
      </c>
      <c r="J79" s="6">
        <f t="shared" si="8"/>
        <v>3</v>
      </c>
      <c r="K79" s="6">
        <f t="shared" si="9"/>
        <v>0</v>
      </c>
      <c r="L79" s="6">
        <f t="shared" si="10"/>
        <v>1</v>
      </c>
      <c r="M79" s="6">
        <f t="shared" si="11"/>
        <v>0</v>
      </c>
      <c r="N79" s="6">
        <f t="shared" si="12"/>
        <v>4</v>
      </c>
      <c r="O79" s="6" t="str">
        <f t="shared" si="13"/>
        <v>일반</v>
      </c>
      <c r="P79" s="7" t="str">
        <f>RawData!P75</f>
        <v>-</v>
      </c>
    </row>
    <row r="80" spans="1:16" x14ac:dyDescent="0.3">
      <c r="A80" s="6" t="str">
        <f>RIGHT(RawData!A76,2)</f>
        <v>72</v>
      </c>
      <c r="B80" s="6" t="str">
        <f>RawData!B76</f>
        <v>광교중앙로</v>
      </c>
      <c r="C80" s="6" t="str">
        <f>RawData!C76</f>
        <v>26-용인시-72</v>
      </c>
      <c r="D80" s="6" t="str">
        <f>RawData!D76</f>
        <v>양호</v>
      </c>
      <c r="E80" s="6" t="str">
        <f>RawData!E76</f>
        <v>종균열</v>
      </c>
      <c r="F80" s="6" t="str">
        <f>RawData!F76</f>
        <v>양호</v>
      </c>
      <c r="G80" s="6">
        <f>RawData!G76</f>
        <v>10.3</v>
      </c>
      <c r="H80" s="6" t="str">
        <f>RawData!H76</f>
        <v>-</v>
      </c>
      <c r="I80" s="6">
        <f t="shared" si="7"/>
        <v>0</v>
      </c>
      <c r="J80" s="6">
        <f t="shared" si="8"/>
        <v>1</v>
      </c>
      <c r="K80" s="6">
        <f t="shared" si="9"/>
        <v>0</v>
      </c>
      <c r="L80" s="6">
        <f t="shared" si="10"/>
        <v>1</v>
      </c>
      <c r="M80" s="6">
        <f t="shared" si="11"/>
        <v>0</v>
      </c>
      <c r="N80" s="6">
        <f t="shared" si="12"/>
        <v>2</v>
      </c>
      <c r="O80" s="6" t="str">
        <f t="shared" si="13"/>
        <v>일반</v>
      </c>
      <c r="P80" s="7" t="str">
        <f>RawData!P76</f>
        <v>-</v>
      </c>
    </row>
  </sheetData>
  <mergeCells count="20">
    <mergeCell ref="M5:P5"/>
    <mergeCell ref="A4:B4"/>
    <mergeCell ref="C4:D4"/>
    <mergeCell ref="E4:F4"/>
    <mergeCell ref="G4:I4"/>
    <mergeCell ref="J4:L4"/>
    <mergeCell ref="M4:P4"/>
    <mergeCell ref="A5:B5"/>
    <mergeCell ref="C5:D5"/>
    <mergeCell ref="E5:F5"/>
    <mergeCell ref="G5:I5"/>
    <mergeCell ref="J5:L5"/>
    <mergeCell ref="O7:O8"/>
    <mergeCell ref="P7:P8"/>
    <mergeCell ref="A7:A8"/>
    <mergeCell ref="B7:B8"/>
    <mergeCell ref="C7:C8"/>
    <mergeCell ref="D7:H7"/>
    <mergeCell ref="I7:M7"/>
    <mergeCell ref="N7:N8"/>
  </mergeCells>
  <phoneticPr fontId="2" type="noConversion"/>
  <pageMargins left="0.7" right="0.7" top="0.75" bottom="0.75" header="0.3" footer="0.3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RawData</vt:lpstr>
      <vt:lpstr>V2</vt:lpstr>
      <vt:lpstr>'V2'!Print_Area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2026-06-05T06:08:05Z</dcterms:modified>
</cp:coreProperties>
</file>