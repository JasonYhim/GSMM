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5 내 문서 모음\01. 업무관련 문서양식\017 지하안전점검(지하안전법) 관련\■ 연도별 지하안전점검(육안점검) 결과보고서\2026년 지하안전점검 보고서\"/>
    </mc:Choice>
  </mc:AlternateContent>
  <xr:revisionPtr revIDLastSave="0" documentId="13_ncr:1_{8B4A064C-B223-403E-B0F0-74ADF8E01AED}" xr6:coauthVersionLast="47" xr6:coauthVersionMax="47" xr10:uidLastSave="{00000000-0000-0000-0000-000000000000}"/>
  <bookViews>
    <workbookView xWindow="22932" yWindow="-96" windowWidth="23256" windowHeight="13176" xr2:uid="{00000000-000D-0000-FFFF-FFFF00000000}"/>
  </bookViews>
  <sheets>
    <sheet name="RawData" sheetId="1" r:id="rId1"/>
    <sheet name="V2" sheetId="2" r:id="rId2"/>
  </sheets>
  <definedNames>
    <definedName name="_xlnm.Print_Area" localSheetId="1">'V2'!$A$1:$P$30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2" l="1"/>
  <c r="C5" i="2"/>
  <c r="L21" i="2"/>
  <c r="L25" i="2"/>
  <c r="L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9" i="2"/>
  <c r="I12" i="2"/>
  <c r="I13" i="2"/>
  <c r="I14" i="2"/>
  <c r="H10" i="2"/>
  <c r="M10" i="2" s="1"/>
  <c r="H11" i="2"/>
  <c r="M11" i="2" s="1"/>
  <c r="H12" i="2"/>
  <c r="M12" i="2" s="1"/>
  <c r="H13" i="2"/>
  <c r="M13" i="2" s="1"/>
  <c r="H14" i="2"/>
  <c r="M14" i="2" s="1"/>
  <c r="H15" i="2"/>
  <c r="H16" i="2"/>
  <c r="M16" i="2" s="1"/>
  <c r="H17" i="2"/>
  <c r="M17" i="2" s="1"/>
  <c r="H18" i="2"/>
  <c r="M18" i="2" s="1"/>
  <c r="H19" i="2"/>
  <c r="M19" i="2" s="1"/>
  <c r="H20" i="2"/>
  <c r="M20" i="2" s="1"/>
  <c r="H21" i="2"/>
  <c r="M21" i="2" s="1"/>
  <c r="H22" i="2"/>
  <c r="H23" i="2"/>
  <c r="M23" i="2" s="1"/>
  <c r="H24" i="2"/>
  <c r="M24" i="2" s="1"/>
  <c r="H25" i="2"/>
  <c r="M25" i="2" s="1"/>
  <c r="H26" i="2"/>
  <c r="M26" i="2" s="1"/>
  <c r="H27" i="2"/>
  <c r="M27" i="2" s="1"/>
  <c r="H28" i="2"/>
  <c r="M28" i="2" s="1"/>
  <c r="H29" i="2"/>
  <c r="M29" i="2" s="1"/>
  <c r="H9" i="2"/>
  <c r="M9" i="2" s="1"/>
  <c r="G29" i="2"/>
  <c r="L29" i="2" s="1"/>
  <c r="G28" i="2"/>
  <c r="L28" i="2" s="1"/>
  <c r="G27" i="2"/>
  <c r="L27" i="2" s="1"/>
  <c r="G26" i="2"/>
  <c r="L26" i="2" s="1"/>
  <c r="G25" i="2"/>
  <c r="G24" i="2"/>
  <c r="L24" i="2" s="1"/>
  <c r="G23" i="2"/>
  <c r="L23" i="2" s="1"/>
  <c r="G22" i="2"/>
  <c r="L22" i="2" s="1"/>
  <c r="G21" i="2"/>
  <c r="G20" i="2"/>
  <c r="L20" i="2" s="1"/>
  <c r="G19" i="2"/>
  <c r="L19" i="2" s="1"/>
  <c r="G18" i="2"/>
  <c r="L18" i="2" s="1"/>
  <c r="G17" i="2"/>
  <c r="L17" i="2" s="1"/>
  <c r="G16" i="2"/>
  <c r="L16" i="2" s="1"/>
  <c r="G15" i="2"/>
  <c r="L15" i="2" s="1"/>
  <c r="G14" i="2"/>
  <c r="L14" i="2" s="1"/>
  <c r="G13" i="2"/>
  <c r="L13" i="2" s="1"/>
  <c r="G12" i="2"/>
  <c r="L12" i="2" s="1"/>
  <c r="G11" i="2"/>
  <c r="L11" i="2" s="1"/>
  <c r="G10" i="2"/>
  <c r="L10" i="2" s="1"/>
  <c r="F10" i="2"/>
  <c r="F11" i="2"/>
  <c r="F12" i="2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2" i="2"/>
  <c r="F23" i="2"/>
  <c r="K23" i="2" s="1"/>
  <c r="F24" i="2"/>
  <c r="K24" i="2" s="1"/>
  <c r="F25" i="2"/>
  <c r="K25" i="2" s="1"/>
  <c r="F26" i="2"/>
  <c r="K26" i="2" s="1"/>
  <c r="F27" i="2"/>
  <c r="F28" i="2"/>
  <c r="K28" i="2" s="1"/>
  <c r="F29" i="2"/>
  <c r="K29" i="2" s="1"/>
  <c r="F9" i="2"/>
  <c r="K9" i="2" s="1"/>
  <c r="E10" i="2"/>
  <c r="J10" i="2" s="1"/>
  <c r="E11" i="2"/>
  <c r="E12" i="2"/>
  <c r="J12" i="2" s="1"/>
  <c r="E13" i="2"/>
  <c r="E14" i="2"/>
  <c r="J14" i="2" s="1"/>
  <c r="E15" i="2"/>
  <c r="J15" i="2" s="1"/>
  <c r="E16" i="2"/>
  <c r="J16" i="2" s="1"/>
  <c r="E17" i="2"/>
  <c r="J17" i="2" s="1"/>
  <c r="E18" i="2"/>
  <c r="J18" i="2" s="1"/>
  <c r="E19" i="2"/>
  <c r="J19" i="2" s="1"/>
  <c r="E20" i="2"/>
  <c r="J20" i="2" s="1"/>
  <c r="E21" i="2"/>
  <c r="J21" i="2" s="1"/>
  <c r="E22" i="2"/>
  <c r="J22" i="2" s="1"/>
  <c r="E23" i="2"/>
  <c r="J23" i="2" s="1"/>
  <c r="E24" i="2"/>
  <c r="J24" i="2" s="1"/>
  <c r="E26" i="2"/>
  <c r="E27" i="2"/>
  <c r="J27" i="2" s="1"/>
  <c r="E28" i="2"/>
  <c r="J28" i="2" s="1"/>
  <c r="E29" i="2"/>
  <c r="J29" i="2" s="1"/>
  <c r="E9" i="2"/>
  <c r="J9" i="2" s="1"/>
  <c r="D10" i="2"/>
  <c r="I10" i="2" s="1"/>
  <c r="D11" i="2"/>
  <c r="I11" i="2" s="1"/>
  <c r="D12" i="2"/>
  <c r="D13" i="2"/>
  <c r="D14" i="2"/>
  <c r="D15" i="2"/>
  <c r="I15" i="2" s="1"/>
  <c r="D16" i="2"/>
  <c r="I16" i="2" s="1"/>
  <c r="D17" i="2"/>
  <c r="I17" i="2" s="1"/>
  <c r="D18" i="2"/>
  <c r="I18" i="2" s="1"/>
  <c r="D19" i="2"/>
  <c r="I19" i="2" s="1"/>
  <c r="D20" i="2"/>
  <c r="I20" i="2" s="1"/>
  <c r="D21" i="2"/>
  <c r="I21" i="2" s="1"/>
  <c r="D22" i="2"/>
  <c r="I22" i="2" s="1"/>
  <c r="D23" i="2"/>
  <c r="I23" i="2" s="1"/>
  <c r="D24" i="2"/>
  <c r="I24" i="2" s="1"/>
  <c r="D25" i="2"/>
  <c r="I25" i="2" s="1"/>
  <c r="D26" i="2"/>
  <c r="I26" i="2" s="1"/>
  <c r="D27" i="2"/>
  <c r="I27" i="2" s="1"/>
  <c r="D28" i="2"/>
  <c r="I28" i="2" s="1"/>
  <c r="D29" i="2"/>
  <c r="I29" i="2" s="1"/>
  <c r="D9" i="2"/>
  <c r="I9" i="2" s="1"/>
  <c r="C2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9" i="2"/>
  <c r="K27" i="2"/>
  <c r="J25" i="2"/>
  <c r="M22" i="2"/>
  <c r="K22" i="2"/>
  <c r="M15" i="2"/>
  <c r="J13" i="2"/>
  <c r="K12" i="2"/>
  <c r="K11" i="2"/>
  <c r="J11" i="2"/>
  <c r="K10" i="2"/>
  <c r="J26" i="2"/>
  <c r="N9" i="2" l="1"/>
  <c r="N19" i="2"/>
  <c r="O19" i="2" s="1"/>
  <c r="N26" i="2"/>
  <c r="O26" i="2" s="1"/>
  <c r="N14" i="2"/>
  <c r="O14" i="2" s="1"/>
  <c r="N11" i="2"/>
  <c r="O11" i="2" s="1"/>
  <c r="N12" i="2"/>
  <c r="O12" i="2" s="1"/>
  <c r="N24" i="2"/>
  <c r="O24" i="2" s="1"/>
  <c r="N20" i="2"/>
  <c r="O20" i="2" s="1"/>
  <c r="N23" i="2"/>
  <c r="O23" i="2" s="1"/>
  <c r="N15" i="2"/>
  <c r="O15" i="2" s="1"/>
  <c r="N27" i="2"/>
  <c r="O27" i="2" s="1"/>
  <c r="N10" i="2"/>
  <c r="O10" i="2" s="1"/>
  <c r="N22" i="2"/>
  <c r="O22" i="2" s="1"/>
  <c r="N16" i="2"/>
  <c r="O16" i="2" s="1"/>
  <c r="N28" i="2"/>
  <c r="O28" i="2" s="1"/>
  <c r="N21" i="2"/>
  <c r="O21" i="2" s="1"/>
  <c r="N17" i="2"/>
  <c r="O17" i="2" s="1"/>
  <c r="N13" i="2"/>
  <c r="O13" i="2" s="1"/>
  <c r="N29" i="2"/>
  <c r="O29" i="2" s="1"/>
  <c r="N18" i="2"/>
  <c r="O18" i="2" s="1"/>
  <c r="O9" i="2"/>
  <c r="N25" i="2"/>
  <c r="O25" i="2" s="1"/>
</calcChain>
</file>

<file path=xl/sharedStrings.xml><?xml version="1.0" encoding="utf-8"?>
<sst xmlns="http://schemas.openxmlformats.org/spreadsheetml/2006/main" count="862" uniqueCount="214">
  <si>
    <t>시행년도</t>
  </si>
  <si>
    <t>시행사 구분</t>
  </si>
  <si>
    <t>권역구 구분</t>
  </si>
  <si>
    <t>성남시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</si>
  <si>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</si>
  <si>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</si>
  <si>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</si>
  <si>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</si>
  <si>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</si>
  <si>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</si>
  <si>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</si>
  <si>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지반침하발생이력</t>
  </si>
  <si>
    <t>침하점수</t>
  </si>
  <si>
    <t>균열점수</t>
  </si>
  <si>
    <t>습윤점수</t>
  </si>
  <si>
    <t>노후도점수</t>
  </si>
  <si>
    <t>보수보강이력</t>
  </si>
  <si>
    <t>평가점수</t>
  </si>
  <si>
    <t>평가등급</t>
  </si>
  <si>
    <t>조사자의견</t>
  </si>
  <si>
    <t>인접지번주소</t>
  </si>
  <si>
    <t>조사위치도</t>
  </si>
  <si>
    <t>부가정보1</t>
  </si>
  <si>
    <t>부가정보2</t>
  </si>
  <si>
    <t>성남대로</t>
  </si>
  <si>
    <t>25-성남시-6</t>
  </si>
  <si>
    <t>양호</t>
  </si>
  <si>
    <t>거북등</t>
  </si>
  <si>
    <t>건조</t>
  </si>
  <si>
    <t>9.3</t>
  </si>
  <si>
    <t>-</t>
  </si>
  <si>
    <t>일반</t>
  </si>
  <si>
    <t/>
  </si>
  <si>
    <t>금곡사거리</t>
  </si>
  <si>
    <t>금곡사거리 도로</t>
  </si>
  <si>
    <t>25-성남시-7</t>
  </si>
  <si>
    <t>횡균열</t>
  </si>
  <si>
    <t>금곡동 127</t>
  </si>
  <si>
    <t>분당경영고등학교 앞 도로</t>
  </si>
  <si>
    <t>25-성남시-8</t>
  </si>
  <si>
    <t>5cm미만 침하</t>
  </si>
  <si>
    <t>금곡동 127-1</t>
  </si>
  <si>
    <t>#연결선 환기구 앞 도로</t>
  </si>
  <si>
    <t>25-성남시-9</t>
  </si>
  <si>
    <t>금곡동 126</t>
  </si>
  <si>
    <t>청솔주공6단지 버스정류장 앞 도로</t>
  </si>
  <si>
    <t>25-성남시-10</t>
  </si>
  <si>
    <t>청솔마을사거리</t>
  </si>
  <si>
    <t>청솔마을 사거리 앞 도로</t>
  </si>
  <si>
    <t>25-성남시-11</t>
  </si>
  <si>
    <t>금곡동 144</t>
  </si>
  <si>
    <t>청솔마을성원7단지 아파트707동 도로</t>
  </si>
  <si>
    <t>25-성남시-12</t>
  </si>
  <si>
    <t>청솔마을성원7단지 아파트706동 도로</t>
  </si>
  <si>
    <t>25-성남시-13</t>
  </si>
  <si>
    <t>금곡동 177</t>
  </si>
  <si>
    <t>청솔마을 서광영남아파트103동 앞 도로</t>
  </si>
  <si>
    <t>25-성남시-14</t>
  </si>
  <si>
    <t>금곡동 159</t>
  </si>
  <si>
    <t>GS25 분당성원점 앞 횡단보도</t>
  </si>
  <si>
    <t>25-성남시-15</t>
  </si>
  <si>
    <t>종균열</t>
  </si>
  <si>
    <t>금곡동 161</t>
  </si>
  <si>
    <t>옥된장 앞 도로</t>
  </si>
  <si>
    <t>25-성남시-16</t>
  </si>
  <si>
    <t>금곡동 158</t>
  </si>
  <si>
    <t>올리브영 앞 도로</t>
  </si>
  <si>
    <t>25-성남시-17</t>
  </si>
  <si>
    <t>금곡동 164</t>
  </si>
  <si>
    <t>미금역 버스정류장 앞 도로</t>
  </si>
  <si>
    <t>25-성남시-18</t>
  </si>
  <si>
    <t>금곡동 157</t>
  </si>
  <si>
    <t>미금역 #1번출구 앞 도로</t>
  </si>
  <si>
    <t>25-성남시-19</t>
  </si>
  <si>
    <t>구미동 23-1</t>
  </si>
  <si>
    <t>미금역 교차로 도로</t>
  </si>
  <si>
    <t>25-성남시-20</t>
  </si>
  <si>
    <t>보통</t>
  </si>
  <si>
    <t>침하 5cm</t>
  </si>
  <si>
    <t>미금역 #2번출구 앞 도로</t>
  </si>
  <si>
    <t>25-성남시-21</t>
  </si>
  <si>
    <t>25-성남시-22</t>
  </si>
  <si>
    <t>침하 3cm</t>
  </si>
  <si>
    <t>구미동 9-1</t>
  </si>
  <si>
    <t>미금역 #5출구 앞 도로</t>
  </si>
  <si>
    <t>25-성남시-23</t>
  </si>
  <si>
    <t>구미동 23-4</t>
  </si>
  <si>
    <t>미금역 피난계단 앞 도로</t>
  </si>
  <si>
    <t>25-성남시-24</t>
  </si>
  <si>
    <t>나무수커피 앞 도로</t>
  </si>
  <si>
    <t>25-성남시-25</t>
  </si>
  <si>
    <t>침하 4cm</t>
  </si>
  <si>
    <t>택시승강장 앞 도로</t>
  </si>
  <si>
    <t>25-성남시-26</t>
  </si>
  <si>
    <t>구미동 23-3</t>
  </si>
  <si>
    <t>성남고용복지 플러스센터 앞 도로</t>
  </si>
  <si>
    <t>25-성남시-27</t>
  </si>
  <si>
    <t>구미동 14-1</t>
  </si>
  <si>
    <t>까치마을 건영빌라 503동 앞 도로</t>
  </si>
  <si>
    <t>25-성남시-28</t>
  </si>
  <si>
    <t>구미동 21-1</t>
  </si>
  <si>
    <t>까치마을 건영빌라 303동 앞 도로</t>
  </si>
  <si>
    <t>25-성남시-29</t>
  </si>
  <si>
    <t>까치마을 건영빌라 302동 앞 도로</t>
  </si>
  <si>
    <t>25-성남시-30</t>
  </si>
  <si>
    <t>까치마을 지하보도 도로</t>
  </si>
  <si>
    <t>25-성남시-31</t>
  </si>
  <si>
    <t>침하 2cm</t>
  </si>
  <si>
    <t>구미동 13</t>
  </si>
  <si>
    <t>까치마을 건영빌라 603동 앞 도로</t>
  </si>
  <si>
    <t>25-성남시-32</t>
  </si>
  <si>
    <t>미금사거리</t>
  </si>
  <si>
    <t>미금사거리 도로</t>
  </si>
  <si>
    <t>25-성남시-33</t>
  </si>
  <si>
    <t>구미동 17</t>
  </si>
  <si>
    <t>성남구미도서관 앞 도로</t>
  </si>
  <si>
    <t>25-성남시-34</t>
  </si>
  <si>
    <t>구미동 149-1</t>
  </si>
  <si>
    <t>서울그린빌 1동 앞 도로</t>
  </si>
  <si>
    <t>탄천상로</t>
  </si>
  <si>
    <t>25-성남시-35</t>
  </si>
  <si>
    <t>구미동 170-2</t>
  </si>
  <si>
    <t>동막교 앞 사거리 도로</t>
  </si>
  <si>
    <t>25-성남시-36</t>
  </si>
  <si>
    <t>구미동 170-1</t>
  </si>
  <si>
    <t>KD운송그룹 분당영업소 앞 도로</t>
  </si>
  <si>
    <t>분당수서로</t>
  </si>
  <si>
    <t>25-성남시-37</t>
  </si>
  <si>
    <t>경기고속삼거리</t>
  </si>
  <si>
    <t>경기고속 삼거리 도로</t>
  </si>
  <si>
    <t>신수로</t>
  </si>
  <si>
    <t>25-성남시-38</t>
  </si>
  <si>
    <t>구미동 824-4</t>
  </si>
  <si>
    <t>강원철물건재 앞 도로</t>
  </si>
  <si>
    <t>26-성남시-01</t>
  </si>
  <si>
    <t>0</t>
  </si>
  <si>
    <t>3</t>
  </si>
  <si>
    <t>1</t>
  </si>
  <si>
    <t>4</t>
  </si>
  <si>
    <t>정자동180</t>
  </si>
  <si>
    <t>미켈란쉐르빌아파트 앞 양차선(정자일로100)</t>
  </si>
  <si>
    <t>26-성남시-02</t>
  </si>
  <si>
    <t>종,횡균열</t>
  </si>
  <si>
    <t>2</t>
  </si>
  <si>
    <t>정자동181</t>
  </si>
  <si>
    <t>상록마을 임광보성아파트 406동 앞 도로(정자일로80)</t>
  </si>
  <si>
    <t>26-성남시-03</t>
  </si>
  <si>
    <t>상록마을 임광보성아파트 408동 앞 도로(정자일로80)</t>
  </si>
  <si>
    <t>26-성남시-04</t>
  </si>
  <si>
    <t>26-성남시-05</t>
  </si>
  <si>
    <t>청솔마을 사거리</t>
  </si>
  <si>
    <t>26-성남시-06</t>
  </si>
  <si>
    <t>분당구 금곡동176</t>
  </si>
  <si>
    <t>청솔마을계룡아파트 112동 앞 도로(정자일로30)</t>
  </si>
  <si>
    <t>26-성남시-07</t>
  </si>
  <si>
    <t>청솔마을계룡아파트 어린이놀이터 앞 도로(정자일로30)</t>
  </si>
  <si>
    <t>26-성남시-08</t>
  </si>
  <si>
    <t>종횡균열</t>
  </si>
  <si>
    <t>5cm이하 침하</t>
  </si>
  <si>
    <t>분당구 금곡동177</t>
  </si>
  <si>
    <t>청솔마을서광영남아파트 101동 앞 도로(성남대로171번길8</t>
  </si>
  <si>
    <t>26-성남시-09</t>
  </si>
  <si>
    <t>청솔마을서광영남아파트 103동 앞 도로(성남대로171번길8)</t>
  </si>
  <si>
    <t>26-성남시-10</t>
  </si>
  <si>
    <t>분당구 금곡동161</t>
  </si>
  <si>
    <t>천사의도시1 옥된장 앞 도로(성남대로165)</t>
  </si>
  <si>
    <t>26-성남시-11</t>
  </si>
  <si>
    <t>천사의도시1 새마을금고 앞 도로(성남대로165)</t>
  </si>
  <si>
    <t>26-성남시-12</t>
  </si>
  <si>
    <t>26-성남시-13</t>
  </si>
  <si>
    <t>분당구 구미동9-1</t>
  </si>
  <si>
    <t>분당엠코헤리츠 스타벅스 앞 도로(성남대로151)</t>
  </si>
  <si>
    <t>26-성남시-14</t>
  </si>
  <si>
    <t>분당엠코헤리츠 나무수커피 앞 도로(성남대로151)</t>
  </si>
  <si>
    <t>26-성남시-15</t>
  </si>
  <si>
    <t>분당구 구미동14-1</t>
  </si>
  <si>
    <t>까치마을 건영빌라 505동 앞 도로(미금일로136)</t>
  </si>
  <si>
    <t>26-성남시-16</t>
  </si>
  <si>
    <t>분당구 구미동13</t>
  </si>
  <si>
    <t>까치마을 건영빌라 604동 앞 도로(미금일로122)</t>
  </si>
  <si>
    <t>26-성남시-17</t>
  </si>
  <si>
    <t>까치마을 건영빌라 609동 앞 횡단보도(미금일로122)</t>
  </si>
  <si>
    <t>26-성남시-18</t>
  </si>
  <si>
    <t>분당구 구미동17</t>
  </si>
  <si>
    <t>구미도서관 앞 양차선(미금일로101)</t>
  </si>
  <si>
    <t>26-성남시-19</t>
  </si>
  <si>
    <t>분당구 구미동148</t>
  </si>
  <si>
    <t>성지빌라 앞 양차선(금곡로7번길7)</t>
  </si>
  <si>
    <t>26-성남시-20</t>
  </si>
  <si>
    <t>경기고속삼거리(탄천상로171)</t>
  </si>
  <si>
    <t>대왕판교로</t>
  </si>
  <si>
    <t>26-성남시-21</t>
  </si>
  <si>
    <t>분당구 구미동824-4</t>
  </si>
  <si>
    <t>강원철물건재 앞 도로(신수로787)</t>
  </si>
  <si>
    <t>○ 육안조사 결과표</t>
  </si>
  <si>
    <t>광역시도명</t>
  </si>
  <si>
    <t>대상시설명</t>
  </si>
  <si>
    <t>조사기간</t>
  </si>
  <si>
    <t>시설물관리자</t>
  </si>
  <si>
    <t>조사자</t>
  </si>
  <si>
    <t>경기도</t>
  </si>
  <si>
    <t>신분당선</t>
  </si>
  <si>
    <t>기술참여자 명단 참조</t>
  </si>
  <si>
    <t>조사결과</t>
  </si>
  <si>
    <t>평가항목별 점수</t>
  </si>
  <si>
    <t>조사자 의견</t>
  </si>
  <si>
    <t>지반침하 발생 등의 이력1) (1년 이내)</t>
  </si>
  <si>
    <t>침하</t>
  </si>
  <si>
    <t>노후도</t>
  </si>
  <si>
    <t>5cm이하 침하 (바퀴자리)</t>
    <phoneticPr fontId="2" type="noConversion"/>
  </si>
  <si>
    <t>-</t>
    <phoneticPr fontId="2" type="noConversion"/>
  </si>
  <si>
    <t>경기철도㈜</t>
    <phoneticPr fontId="2" type="noConversion"/>
  </si>
  <si>
    <t>2026-03-17~2026-05-27</t>
    <phoneticPr fontId="2" type="noConversion"/>
  </si>
  <si>
    <t>시군구명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</si>
</sst>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8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HY헤드라인M"/>
      <family val="1"/>
      <charset val="129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sz val="9"/>
      <color theme="1"/>
      <name val="맑은 고딕"/>
      <family val="3"/>
      <charset val="129"/>
      <scheme val="minor"/>
    </font>
    <font>
      <sz val="6"/>
      <color theme="1"/>
      <name val="HY헤드라인M"/>
      <family val="1"/>
      <charset val="129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6">
    <xf numFmtId="0" fontId="0" fillId="0" borderId="0" xfId="0" applyNumberFormat="1"/>
    <xf numFmtId="0" fontId="3" fillId="0" borderId="0" xfId="1" applyFont="1">
      <alignment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0" fontId="5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5" fillId="0" borderId="1" xfId="1" applyFont="1" applyBorder="1" applyAlignment="1">
      <alignment horizontal="center" vertical="center"/>
    </xf>
    <xf numFmtId="0" fontId="1" fillId="0" borderId="0" xfId="1" applyAlignment="1"/>
    <xf numFmtId="0" fontId="7" fillId="0" borderId="1" xfId="1" applyFont="1" applyBorder="1" applyAlignment="1">
      <alignment horizontal="center" vertical="center"/>
    </xf>
    <xf numFmtId="176" fontId="0" fillId="0" borderId="0" xfId="0" applyNumberFormat="1"/>
    <xf numFmtId="0" fontId="4" fillId="0" borderId="1" xfId="1" applyFont="1" applyBorder="1" applyAlignment="1">
      <alignment horizontal="center" vertical="center"/>
    </xf>
    <xf numFmtId="0" fontId="1" fillId="0" borderId="3" xfId="1" applyBorder="1" applyAlignment="1"/>
    <xf numFmtId="0" fontId="1" fillId="0" borderId="2" xfId="1" applyBorder="1" applyAlignment="1"/>
    <xf numFmtId="0" fontId="5" fillId="0" borderId="1" xfId="1" applyFont="1" applyBorder="1" applyAlignment="1">
      <alignment horizontal="center" vertical="center" wrapText="1"/>
    </xf>
    <xf numFmtId="0" fontId="1" fillId="0" borderId="4" xfId="1" applyBorder="1" applyAlignment="1"/>
    <xf numFmtId="0" fontId="5" fillId="0" borderId="1" xfId="1" applyFont="1" applyBorder="1" applyAlignment="1">
      <alignment horizontal="center" vertical="center"/>
    </xf>
  </cellXfs>
  <cellStyles count="2">
    <cellStyle name="표준" xfId="0" builtinId="0"/>
    <cellStyle name="표준 2" xfId="1" xr:uid="{F9AC86D9-2E6C-4E84-963A-F1BF809C8528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8"/>
  <sheetViews>
    <sheetView tabSelected="1" zoomScale="85" zoomScaleNormal="85" workbookViewId="0">
      <selection activeCell="A26" sqref="A26"/>
    </sheetView>
  </sheetViews>
  <sheetFormatPr defaultRowHeight="17.25" x14ac:dyDescent="0.3"/>
  <cols>
    <col min="2" max="2" width="11.21875" bestFit="1" customWidth="1"/>
    <col min="3" max="3" width="11.44140625" bestFit="1" customWidth="1"/>
    <col min="4" max="4" width="12.6640625" bestFit="1" customWidth="1"/>
    <col min="18" max="18" width="17.21875" customWidth="1"/>
    <col min="19" max="19" width="12.44140625" customWidth="1"/>
    <col min="20" max="20" width="52.77734375" bestFit="1" customWidth="1"/>
  </cols>
  <sheetData>
    <row r="1" spans="1:21" x14ac:dyDescent="0.3">
      <c r="B1" t="s">
        <v>1</v>
      </c>
      <c r="C1" t="s">
        <v>2</v>
      </c>
    </row>
    <row r="2" spans="1:21" x14ac:dyDescent="0.3">
      <c r="B2" t="s">
        <v>211</v>
      </c>
      <c r="C2" t="s">
        <v>3</v>
      </c>
    </row>
    <row r="4" spans="1:21" x14ac:dyDescent="0.3">
      <c r="A4" t="s">
        <v>0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</row>
    <row r="5" spans="1:21" x14ac:dyDescent="0.3">
      <c r="A5">
        <v>2026</v>
      </c>
      <c r="B5">
        <v>1</v>
      </c>
      <c r="C5" t="s">
        <v>24</v>
      </c>
      <c r="D5" t="s">
        <v>134</v>
      </c>
      <c r="E5" t="s">
        <v>26</v>
      </c>
      <c r="F5" t="s">
        <v>27</v>
      </c>
      <c r="G5" t="s">
        <v>26</v>
      </c>
      <c r="H5" s="9">
        <v>10.3</v>
      </c>
      <c r="I5" t="s">
        <v>30</v>
      </c>
      <c r="J5" t="s">
        <v>135</v>
      </c>
      <c r="K5" t="s">
        <v>136</v>
      </c>
      <c r="L5" t="s">
        <v>135</v>
      </c>
      <c r="M5" t="s">
        <v>137</v>
      </c>
      <c r="N5" t="s">
        <v>135</v>
      </c>
      <c r="O5" t="s">
        <v>138</v>
      </c>
      <c r="P5" t="s">
        <v>31</v>
      </c>
      <c r="Q5" t="s">
        <v>30</v>
      </c>
      <c r="R5" t="s">
        <v>139</v>
      </c>
      <c r="S5" t="s">
        <v>32</v>
      </c>
      <c r="T5" t="s">
        <v>140</v>
      </c>
      <c r="U5" t="s">
        <v>32</v>
      </c>
    </row>
    <row r="6" spans="1:21" x14ac:dyDescent="0.3">
      <c r="A6">
        <v>2026</v>
      </c>
      <c r="B6">
        <v>2</v>
      </c>
      <c r="C6" t="s">
        <v>24</v>
      </c>
      <c r="D6" t="s">
        <v>141</v>
      </c>
      <c r="E6" t="s">
        <v>26</v>
      </c>
      <c r="F6" t="s">
        <v>142</v>
      </c>
      <c r="G6" t="s">
        <v>26</v>
      </c>
      <c r="H6" s="9">
        <v>10.3</v>
      </c>
      <c r="I6" t="s">
        <v>30</v>
      </c>
      <c r="J6" t="s">
        <v>135</v>
      </c>
      <c r="K6" t="s">
        <v>137</v>
      </c>
      <c r="L6" t="s">
        <v>135</v>
      </c>
      <c r="M6" t="s">
        <v>137</v>
      </c>
      <c r="N6" t="s">
        <v>135</v>
      </c>
      <c r="O6" t="s">
        <v>143</v>
      </c>
      <c r="P6" t="s">
        <v>31</v>
      </c>
      <c r="Q6" t="s">
        <v>30</v>
      </c>
      <c r="R6" t="s">
        <v>144</v>
      </c>
      <c r="S6" t="s">
        <v>32</v>
      </c>
      <c r="T6" t="s">
        <v>145</v>
      </c>
      <c r="U6" t="s">
        <v>32</v>
      </c>
    </row>
    <row r="7" spans="1:21" x14ac:dyDescent="0.3">
      <c r="A7">
        <v>2026</v>
      </c>
      <c r="B7">
        <v>3</v>
      </c>
      <c r="C7" t="s">
        <v>24</v>
      </c>
      <c r="D7" t="s">
        <v>146</v>
      </c>
      <c r="E7" t="s">
        <v>26</v>
      </c>
      <c r="F7" t="s">
        <v>61</v>
      </c>
      <c r="G7" t="s">
        <v>26</v>
      </c>
      <c r="H7" s="9">
        <v>10.3</v>
      </c>
      <c r="I7" t="s">
        <v>30</v>
      </c>
      <c r="J7" t="s">
        <v>135</v>
      </c>
      <c r="K7" t="s">
        <v>137</v>
      </c>
      <c r="L7" t="s">
        <v>135</v>
      </c>
      <c r="M7" t="s">
        <v>137</v>
      </c>
      <c r="N7" t="s">
        <v>135</v>
      </c>
      <c r="O7" t="s">
        <v>143</v>
      </c>
      <c r="P7" t="s">
        <v>31</v>
      </c>
      <c r="Q7" t="s">
        <v>209</v>
      </c>
      <c r="R7" t="s">
        <v>144</v>
      </c>
      <c r="S7" t="s">
        <v>32</v>
      </c>
      <c r="T7" t="s">
        <v>147</v>
      </c>
      <c r="U7" t="s">
        <v>32</v>
      </c>
    </row>
    <row r="8" spans="1:21" x14ac:dyDescent="0.3">
      <c r="A8">
        <v>2026</v>
      </c>
      <c r="B8">
        <v>4</v>
      </c>
      <c r="C8" t="s">
        <v>24</v>
      </c>
      <c r="D8" t="s">
        <v>148</v>
      </c>
      <c r="E8" t="s">
        <v>26</v>
      </c>
      <c r="F8" t="s">
        <v>27</v>
      </c>
      <c r="G8" t="s">
        <v>26</v>
      </c>
      <c r="H8" s="9">
        <v>10.3</v>
      </c>
      <c r="I8" t="s">
        <v>30</v>
      </c>
      <c r="J8" t="s">
        <v>135</v>
      </c>
      <c r="K8" t="s">
        <v>136</v>
      </c>
      <c r="L8" t="s">
        <v>135</v>
      </c>
      <c r="M8" t="s">
        <v>137</v>
      </c>
      <c r="N8" t="s">
        <v>135</v>
      </c>
      <c r="O8" t="s">
        <v>138</v>
      </c>
      <c r="P8" t="s">
        <v>31</v>
      </c>
      <c r="Q8" t="s">
        <v>30</v>
      </c>
      <c r="R8" t="s">
        <v>33</v>
      </c>
      <c r="S8" t="s">
        <v>32</v>
      </c>
      <c r="T8" t="s">
        <v>33</v>
      </c>
      <c r="U8" t="s">
        <v>32</v>
      </c>
    </row>
    <row r="9" spans="1:21" x14ac:dyDescent="0.3">
      <c r="A9">
        <v>2026</v>
      </c>
      <c r="B9">
        <v>5</v>
      </c>
      <c r="C9" t="s">
        <v>24</v>
      </c>
      <c r="D9" t="s">
        <v>149</v>
      </c>
      <c r="E9" t="s">
        <v>26</v>
      </c>
      <c r="F9" t="s">
        <v>27</v>
      </c>
      <c r="G9" t="s">
        <v>26</v>
      </c>
      <c r="H9" s="9">
        <v>10.3</v>
      </c>
      <c r="I9" t="s">
        <v>30</v>
      </c>
      <c r="J9" t="s">
        <v>135</v>
      </c>
      <c r="K9" t="s">
        <v>136</v>
      </c>
      <c r="L9" t="s">
        <v>135</v>
      </c>
      <c r="M9" t="s">
        <v>137</v>
      </c>
      <c r="N9" t="s">
        <v>135</v>
      </c>
      <c r="O9" t="s">
        <v>138</v>
      </c>
      <c r="P9" t="s">
        <v>31</v>
      </c>
      <c r="Q9" t="s">
        <v>30</v>
      </c>
      <c r="R9" t="s">
        <v>150</v>
      </c>
      <c r="S9" t="s">
        <v>32</v>
      </c>
      <c r="T9" t="s">
        <v>47</v>
      </c>
      <c r="U9" t="s">
        <v>32</v>
      </c>
    </row>
    <row r="10" spans="1:21" x14ac:dyDescent="0.3">
      <c r="A10">
        <v>2026</v>
      </c>
      <c r="B10">
        <v>6</v>
      </c>
      <c r="C10" t="s">
        <v>24</v>
      </c>
      <c r="D10" t="s">
        <v>151</v>
      </c>
      <c r="E10" t="s">
        <v>26</v>
      </c>
      <c r="F10" t="s">
        <v>36</v>
      </c>
      <c r="G10" t="s">
        <v>26</v>
      </c>
      <c r="H10" s="9">
        <v>10.3</v>
      </c>
      <c r="I10" t="s">
        <v>30</v>
      </c>
      <c r="J10" t="s">
        <v>135</v>
      </c>
      <c r="K10" t="s">
        <v>137</v>
      </c>
      <c r="L10" t="s">
        <v>135</v>
      </c>
      <c r="M10" t="s">
        <v>137</v>
      </c>
      <c r="N10" t="s">
        <v>135</v>
      </c>
      <c r="O10" t="s">
        <v>143</v>
      </c>
      <c r="P10" t="s">
        <v>31</v>
      </c>
      <c r="Q10" t="s">
        <v>30</v>
      </c>
      <c r="R10" t="s">
        <v>152</v>
      </c>
      <c r="S10" t="s">
        <v>32</v>
      </c>
      <c r="T10" t="s">
        <v>153</v>
      </c>
      <c r="U10" t="s">
        <v>32</v>
      </c>
    </row>
    <row r="11" spans="1:21" x14ac:dyDescent="0.3">
      <c r="A11">
        <v>2026</v>
      </c>
      <c r="B11">
        <v>7</v>
      </c>
      <c r="C11" t="s">
        <v>24</v>
      </c>
      <c r="D11" t="s">
        <v>154</v>
      </c>
      <c r="E11" t="s">
        <v>26</v>
      </c>
      <c r="F11" t="s">
        <v>61</v>
      </c>
      <c r="G11" t="s">
        <v>26</v>
      </c>
      <c r="H11" s="9">
        <v>10.3</v>
      </c>
      <c r="I11" t="s">
        <v>30</v>
      </c>
      <c r="J11" t="s">
        <v>135</v>
      </c>
      <c r="K11" t="s">
        <v>137</v>
      </c>
      <c r="L11" t="s">
        <v>135</v>
      </c>
      <c r="M11" t="s">
        <v>137</v>
      </c>
      <c r="N11" t="s">
        <v>135</v>
      </c>
      <c r="O11" t="s">
        <v>143</v>
      </c>
      <c r="P11" t="s">
        <v>31</v>
      </c>
      <c r="Q11" t="s">
        <v>30</v>
      </c>
      <c r="R11" t="s">
        <v>152</v>
      </c>
      <c r="S11" t="s">
        <v>32</v>
      </c>
      <c r="T11" t="s">
        <v>155</v>
      </c>
      <c r="U11" t="s">
        <v>32</v>
      </c>
    </row>
    <row r="12" spans="1:21" x14ac:dyDescent="0.3">
      <c r="A12">
        <v>2026</v>
      </c>
      <c r="B12">
        <v>8</v>
      </c>
      <c r="C12" t="s">
        <v>24</v>
      </c>
      <c r="D12" t="s">
        <v>156</v>
      </c>
      <c r="E12" t="s">
        <v>26</v>
      </c>
      <c r="F12" t="s">
        <v>157</v>
      </c>
      <c r="G12" t="s">
        <v>26</v>
      </c>
      <c r="H12" s="9">
        <v>10.3</v>
      </c>
      <c r="I12" t="s">
        <v>30</v>
      </c>
      <c r="J12" t="s">
        <v>135</v>
      </c>
      <c r="K12" t="s">
        <v>137</v>
      </c>
      <c r="L12" t="s">
        <v>135</v>
      </c>
      <c r="M12" t="s">
        <v>137</v>
      </c>
      <c r="N12" t="s">
        <v>135</v>
      </c>
      <c r="O12" t="s">
        <v>143</v>
      </c>
      <c r="P12" t="s">
        <v>31</v>
      </c>
      <c r="Q12" t="s">
        <v>158</v>
      </c>
      <c r="R12" t="s">
        <v>159</v>
      </c>
      <c r="S12" t="s">
        <v>32</v>
      </c>
      <c r="T12" t="s">
        <v>160</v>
      </c>
      <c r="U12" t="s">
        <v>32</v>
      </c>
    </row>
    <row r="13" spans="1:21" x14ac:dyDescent="0.3">
      <c r="A13">
        <v>2026</v>
      </c>
      <c r="B13">
        <v>9</v>
      </c>
      <c r="C13" t="s">
        <v>24</v>
      </c>
      <c r="D13" t="s">
        <v>161</v>
      </c>
      <c r="E13" t="s">
        <v>26</v>
      </c>
      <c r="F13" t="s">
        <v>27</v>
      </c>
      <c r="G13" t="s">
        <v>26</v>
      </c>
      <c r="H13" s="9">
        <v>10.3</v>
      </c>
      <c r="I13" t="s">
        <v>30</v>
      </c>
      <c r="J13" t="s">
        <v>135</v>
      </c>
      <c r="K13" t="s">
        <v>136</v>
      </c>
      <c r="L13" t="s">
        <v>135</v>
      </c>
      <c r="M13" t="s">
        <v>137</v>
      </c>
      <c r="N13" t="s">
        <v>135</v>
      </c>
      <c r="O13" t="s">
        <v>138</v>
      </c>
      <c r="P13" t="s">
        <v>31</v>
      </c>
      <c r="Q13" t="s">
        <v>158</v>
      </c>
      <c r="R13" t="s">
        <v>159</v>
      </c>
      <c r="S13" t="s">
        <v>32</v>
      </c>
      <c r="T13" t="s">
        <v>162</v>
      </c>
      <c r="U13" t="s">
        <v>32</v>
      </c>
    </row>
    <row r="14" spans="1:21" x14ac:dyDescent="0.3">
      <c r="A14">
        <v>2026</v>
      </c>
      <c r="B14">
        <v>10</v>
      </c>
      <c r="C14" t="s">
        <v>24</v>
      </c>
      <c r="D14" t="s">
        <v>163</v>
      </c>
      <c r="E14" t="s">
        <v>26</v>
      </c>
      <c r="F14" t="s">
        <v>157</v>
      </c>
      <c r="G14" t="s">
        <v>26</v>
      </c>
      <c r="H14" s="9">
        <v>10.3</v>
      </c>
      <c r="I14" t="s">
        <v>30</v>
      </c>
      <c r="J14" t="s">
        <v>135</v>
      </c>
      <c r="K14" t="s">
        <v>137</v>
      </c>
      <c r="L14" t="s">
        <v>135</v>
      </c>
      <c r="M14" t="s">
        <v>137</v>
      </c>
      <c r="N14" t="s">
        <v>135</v>
      </c>
      <c r="O14" t="s">
        <v>143</v>
      </c>
      <c r="P14" t="s">
        <v>31</v>
      </c>
      <c r="Q14" t="s">
        <v>30</v>
      </c>
      <c r="R14" t="s">
        <v>164</v>
      </c>
      <c r="S14" t="s">
        <v>32</v>
      </c>
      <c r="T14" t="s">
        <v>165</v>
      </c>
      <c r="U14" t="s">
        <v>32</v>
      </c>
    </row>
    <row r="15" spans="1:21" x14ac:dyDescent="0.3">
      <c r="A15">
        <v>2026</v>
      </c>
      <c r="B15">
        <v>11</v>
      </c>
      <c r="C15" t="s">
        <v>24</v>
      </c>
      <c r="D15" t="s">
        <v>166</v>
      </c>
      <c r="E15" t="s">
        <v>26</v>
      </c>
      <c r="F15" t="s">
        <v>36</v>
      </c>
      <c r="G15" t="s">
        <v>26</v>
      </c>
      <c r="H15" s="9">
        <v>10.3</v>
      </c>
      <c r="I15" t="s">
        <v>30</v>
      </c>
      <c r="J15" t="s">
        <v>135</v>
      </c>
      <c r="K15" t="s">
        <v>137</v>
      </c>
      <c r="L15" t="s">
        <v>135</v>
      </c>
      <c r="M15" t="s">
        <v>137</v>
      </c>
      <c r="N15" t="s">
        <v>135</v>
      </c>
      <c r="O15" t="s">
        <v>143</v>
      </c>
      <c r="P15" t="s">
        <v>31</v>
      </c>
      <c r="Q15" t="s">
        <v>30</v>
      </c>
      <c r="R15" t="s">
        <v>164</v>
      </c>
      <c r="S15" t="s">
        <v>32</v>
      </c>
      <c r="T15" t="s">
        <v>167</v>
      </c>
      <c r="U15" t="s">
        <v>32</v>
      </c>
    </row>
    <row r="16" spans="1:21" x14ac:dyDescent="0.3">
      <c r="A16">
        <v>2026</v>
      </c>
      <c r="B16">
        <v>12</v>
      </c>
      <c r="C16" t="s">
        <v>24</v>
      </c>
      <c r="D16" t="s">
        <v>168</v>
      </c>
      <c r="E16" t="s">
        <v>26</v>
      </c>
      <c r="F16" t="s">
        <v>27</v>
      </c>
      <c r="G16" t="s">
        <v>26</v>
      </c>
      <c r="H16" s="9">
        <v>10.3</v>
      </c>
      <c r="I16" t="s">
        <v>30</v>
      </c>
      <c r="J16" t="s">
        <v>135</v>
      </c>
      <c r="K16" t="s">
        <v>136</v>
      </c>
      <c r="L16" t="s">
        <v>135</v>
      </c>
      <c r="M16" t="s">
        <v>137</v>
      </c>
      <c r="N16" t="s">
        <v>135</v>
      </c>
      <c r="O16" t="s">
        <v>138</v>
      </c>
      <c r="P16" t="s">
        <v>31</v>
      </c>
      <c r="Q16" t="s">
        <v>30</v>
      </c>
      <c r="R16" t="s">
        <v>111</v>
      </c>
      <c r="S16" t="s">
        <v>32</v>
      </c>
      <c r="T16" t="s">
        <v>111</v>
      </c>
      <c r="U16" t="s">
        <v>32</v>
      </c>
    </row>
    <row r="17" spans="1:21" x14ac:dyDescent="0.3">
      <c r="A17">
        <v>2026</v>
      </c>
      <c r="B17">
        <v>13</v>
      </c>
      <c r="C17" t="s">
        <v>24</v>
      </c>
      <c r="D17" t="s">
        <v>169</v>
      </c>
      <c r="E17" t="s">
        <v>26</v>
      </c>
      <c r="F17" t="s">
        <v>157</v>
      </c>
      <c r="G17" t="s">
        <v>26</v>
      </c>
      <c r="H17" s="9">
        <v>10.3</v>
      </c>
      <c r="I17" t="s">
        <v>30</v>
      </c>
      <c r="J17" t="s">
        <v>135</v>
      </c>
      <c r="K17" t="s">
        <v>137</v>
      </c>
      <c r="L17" t="s">
        <v>135</v>
      </c>
      <c r="M17" t="s">
        <v>137</v>
      </c>
      <c r="N17" t="s">
        <v>135</v>
      </c>
      <c r="O17" t="s">
        <v>143</v>
      </c>
      <c r="P17" t="s">
        <v>31</v>
      </c>
      <c r="Q17" t="s">
        <v>30</v>
      </c>
      <c r="R17" t="s">
        <v>170</v>
      </c>
      <c r="S17" t="s">
        <v>32</v>
      </c>
      <c r="T17" t="s">
        <v>171</v>
      </c>
      <c r="U17" t="s">
        <v>32</v>
      </c>
    </row>
    <row r="18" spans="1:21" x14ac:dyDescent="0.3">
      <c r="A18">
        <v>2026</v>
      </c>
      <c r="B18">
        <v>14</v>
      </c>
      <c r="C18" t="s">
        <v>24</v>
      </c>
      <c r="D18" t="s">
        <v>172</v>
      </c>
      <c r="E18" t="s">
        <v>26</v>
      </c>
      <c r="F18" t="s">
        <v>157</v>
      </c>
      <c r="G18" t="s">
        <v>26</v>
      </c>
      <c r="H18" s="9">
        <v>10.3</v>
      </c>
      <c r="I18" t="s">
        <v>30</v>
      </c>
      <c r="J18" t="s">
        <v>135</v>
      </c>
      <c r="K18" t="s">
        <v>137</v>
      </c>
      <c r="L18" t="s">
        <v>135</v>
      </c>
      <c r="M18" t="s">
        <v>137</v>
      </c>
      <c r="N18" t="s">
        <v>135</v>
      </c>
      <c r="O18" t="s">
        <v>143</v>
      </c>
      <c r="P18" t="s">
        <v>31</v>
      </c>
      <c r="Q18" t="s">
        <v>30</v>
      </c>
      <c r="R18" t="s">
        <v>170</v>
      </c>
      <c r="S18" t="s">
        <v>32</v>
      </c>
      <c r="T18" t="s">
        <v>173</v>
      </c>
      <c r="U18" t="s">
        <v>32</v>
      </c>
    </row>
    <row r="19" spans="1:21" x14ac:dyDescent="0.3">
      <c r="A19">
        <v>2026</v>
      </c>
      <c r="B19">
        <v>15</v>
      </c>
      <c r="C19" t="s">
        <v>24</v>
      </c>
      <c r="D19" t="s">
        <v>174</v>
      </c>
      <c r="E19" t="s">
        <v>26</v>
      </c>
      <c r="F19" t="s">
        <v>27</v>
      </c>
      <c r="G19" t="s">
        <v>26</v>
      </c>
      <c r="H19" s="9">
        <v>10.3</v>
      </c>
      <c r="I19" t="s">
        <v>30</v>
      </c>
      <c r="J19" t="s">
        <v>135</v>
      </c>
      <c r="K19" t="s">
        <v>136</v>
      </c>
      <c r="L19" t="s">
        <v>135</v>
      </c>
      <c r="M19" t="s">
        <v>137</v>
      </c>
      <c r="N19" t="s">
        <v>135</v>
      </c>
      <c r="O19" t="s">
        <v>138</v>
      </c>
      <c r="P19" t="s">
        <v>31</v>
      </c>
      <c r="Q19" t="s">
        <v>30</v>
      </c>
      <c r="R19" t="s">
        <v>175</v>
      </c>
      <c r="S19" t="s">
        <v>32</v>
      </c>
      <c r="T19" t="s">
        <v>176</v>
      </c>
      <c r="U19" t="s">
        <v>32</v>
      </c>
    </row>
    <row r="20" spans="1:21" x14ac:dyDescent="0.3">
      <c r="A20">
        <v>2026</v>
      </c>
      <c r="B20">
        <v>16</v>
      </c>
      <c r="C20" t="s">
        <v>24</v>
      </c>
      <c r="D20" t="s">
        <v>177</v>
      </c>
      <c r="E20" t="s">
        <v>26</v>
      </c>
      <c r="F20" t="s">
        <v>61</v>
      </c>
      <c r="G20" t="s">
        <v>26</v>
      </c>
      <c r="H20" s="9">
        <v>10.3</v>
      </c>
      <c r="I20" t="s">
        <v>30</v>
      </c>
      <c r="J20" t="s">
        <v>135</v>
      </c>
      <c r="K20" t="s">
        <v>137</v>
      </c>
      <c r="L20" t="s">
        <v>135</v>
      </c>
      <c r="M20" t="s">
        <v>137</v>
      </c>
      <c r="N20" t="s">
        <v>135</v>
      </c>
      <c r="O20" t="s">
        <v>143</v>
      </c>
      <c r="P20" t="s">
        <v>31</v>
      </c>
      <c r="Q20" t="s">
        <v>30</v>
      </c>
      <c r="R20" t="s">
        <v>178</v>
      </c>
      <c r="S20" t="s">
        <v>32</v>
      </c>
      <c r="T20" t="s">
        <v>179</v>
      </c>
      <c r="U20" t="s">
        <v>32</v>
      </c>
    </row>
    <row r="21" spans="1:21" x14ac:dyDescent="0.3">
      <c r="A21">
        <v>2026</v>
      </c>
      <c r="B21">
        <v>17</v>
      </c>
      <c r="C21" t="s">
        <v>24</v>
      </c>
      <c r="D21" t="s">
        <v>180</v>
      </c>
      <c r="E21" t="s">
        <v>26</v>
      </c>
      <c r="F21" t="s">
        <v>26</v>
      </c>
      <c r="G21" t="s">
        <v>26</v>
      </c>
      <c r="H21" s="9">
        <v>10.3</v>
      </c>
      <c r="I21" t="s">
        <v>30</v>
      </c>
      <c r="J21" t="s">
        <v>135</v>
      </c>
      <c r="K21" t="s">
        <v>135</v>
      </c>
      <c r="L21" t="s">
        <v>135</v>
      </c>
      <c r="M21" t="s">
        <v>137</v>
      </c>
      <c r="N21" t="s">
        <v>135</v>
      </c>
      <c r="O21" t="s">
        <v>137</v>
      </c>
      <c r="P21" t="s">
        <v>31</v>
      </c>
      <c r="Q21" t="s">
        <v>209</v>
      </c>
      <c r="R21" t="s">
        <v>178</v>
      </c>
      <c r="S21" t="s">
        <v>32</v>
      </c>
      <c r="T21" t="s">
        <v>181</v>
      </c>
      <c r="U21" t="s">
        <v>32</v>
      </c>
    </row>
    <row r="22" spans="1:21" x14ac:dyDescent="0.3">
      <c r="A22">
        <v>2026</v>
      </c>
      <c r="B22">
        <v>18</v>
      </c>
      <c r="C22" t="s">
        <v>24</v>
      </c>
      <c r="D22" t="s">
        <v>182</v>
      </c>
      <c r="E22" t="s">
        <v>26</v>
      </c>
      <c r="F22" t="s">
        <v>27</v>
      </c>
      <c r="G22" t="s">
        <v>26</v>
      </c>
      <c r="H22" s="9">
        <v>10.3</v>
      </c>
      <c r="I22" t="s">
        <v>30</v>
      </c>
      <c r="J22" t="s">
        <v>135</v>
      </c>
      <c r="K22" t="s">
        <v>136</v>
      </c>
      <c r="L22" t="s">
        <v>135</v>
      </c>
      <c r="M22" t="s">
        <v>137</v>
      </c>
      <c r="N22" t="s">
        <v>135</v>
      </c>
      <c r="O22" t="s">
        <v>138</v>
      </c>
      <c r="P22" t="s">
        <v>31</v>
      </c>
      <c r="Q22" t="s">
        <v>158</v>
      </c>
      <c r="R22" t="s">
        <v>183</v>
      </c>
      <c r="S22" t="s">
        <v>32</v>
      </c>
      <c r="T22" t="s">
        <v>184</v>
      </c>
      <c r="U22" t="s">
        <v>32</v>
      </c>
    </row>
    <row r="23" spans="1:21" x14ac:dyDescent="0.3">
      <c r="A23">
        <v>2026</v>
      </c>
      <c r="B23">
        <v>19</v>
      </c>
      <c r="C23" t="s">
        <v>24</v>
      </c>
      <c r="D23" t="s">
        <v>185</v>
      </c>
      <c r="E23" t="s">
        <v>26</v>
      </c>
      <c r="F23" t="s">
        <v>27</v>
      </c>
      <c r="G23" t="s">
        <v>26</v>
      </c>
      <c r="H23" s="9">
        <v>10.3</v>
      </c>
      <c r="I23" t="s">
        <v>30</v>
      </c>
      <c r="J23" t="s">
        <v>135</v>
      </c>
      <c r="K23" t="s">
        <v>136</v>
      </c>
      <c r="L23" t="s">
        <v>135</v>
      </c>
      <c r="M23" t="s">
        <v>137</v>
      </c>
      <c r="N23" t="s">
        <v>135</v>
      </c>
      <c r="O23" t="s">
        <v>138</v>
      </c>
      <c r="P23" t="s">
        <v>31</v>
      </c>
      <c r="Q23" t="s">
        <v>30</v>
      </c>
      <c r="R23" t="s">
        <v>186</v>
      </c>
      <c r="S23" t="s">
        <v>32</v>
      </c>
      <c r="T23" t="s">
        <v>187</v>
      </c>
      <c r="U23" t="s">
        <v>32</v>
      </c>
    </row>
    <row r="24" spans="1:21" x14ac:dyDescent="0.3">
      <c r="A24">
        <v>2026</v>
      </c>
      <c r="B24">
        <v>20</v>
      </c>
      <c r="C24" t="s">
        <v>126</v>
      </c>
      <c r="D24" t="s">
        <v>188</v>
      </c>
      <c r="E24" t="s">
        <v>26</v>
      </c>
      <c r="F24" t="s">
        <v>27</v>
      </c>
      <c r="G24" t="s">
        <v>26</v>
      </c>
      <c r="H24" s="9">
        <v>10.3</v>
      </c>
      <c r="I24" t="s">
        <v>30</v>
      </c>
      <c r="J24" t="s">
        <v>135</v>
      </c>
      <c r="K24" t="s">
        <v>136</v>
      </c>
      <c r="L24" t="s">
        <v>135</v>
      </c>
      <c r="M24" t="s">
        <v>137</v>
      </c>
      <c r="N24" t="s">
        <v>135</v>
      </c>
      <c r="O24" t="s">
        <v>138</v>
      </c>
      <c r="P24" t="s">
        <v>31</v>
      </c>
      <c r="Q24" t="s">
        <v>30</v>
      </c>
      <c r="R24" t="s">
        <v>128</v>
      </c>
      <c r="S24" t="s">
        <v>32</v>
      </c>
      <c r="T24" t="s">
        <v>189</v>
      </c>
      <c r="U24" t="s">
        <v>32</v>
      </c>
    </row>
    <row r="25" spans="1:21" x14ac:dyDescent="0.3">
      <c r="A25">
        <v>2026</v>
      </c>
      <c r="B25">
        <v>21</v>
      </c>
      <c r="C25" t="s">
        <v>190</v>
      </c>
      <c r="D25" t="s">
        <v>191</v>
      </c>
      <c r="E25" t="s">
        <v>26</v>
      </c>
      <c r="F25" t="s">
        <v>157</v>
      </c>
      <c r="G25" t="s">
        <v>26</v>
      </c>
      <c r="H25" s="9">
        <v>10.3</v>
      </c>
      <c r="I25" t="s">
        <v>30</v>
      </c>
      <c r="J25" t="s">
        <v>135</v>
      </c>
      <c r="K25" t="s">
        <v>137</v>
      </c>
      <c r="L25" t="s">
        <v>135</v>
      </c>
      <c r="M25" t="s">
        <v>137</v>
      </c>
      <c r="N25" t="s">
        <v>135</v>
      </c>
      <c r="O25" t="s">
        <v>143</v>
      </c>
      <c r="P25" t="s">
        <v>31</v>
      </c>
      <c r="Q25" t="s">
        <v>30</v>
      </c>
      <c r="R25" t="s">
        <v>192</v>
      </c>
      <c r="S25" t="s">
        <v>32</v>
      </c>
      <c r="T25" t="s">
        <v>193</v>
      </c>
      <c r="U25" t="s">
        <v>32</v>
      </c>
    </row>
    <row r="26" spans="1:21" x14ac:dyDescent="0.3">
      <c r="A26">
        <v>2025</v>
      </c>
      <c r="B26">
        <v>6</v>
      </c>
      <c r="C26" t="s">
        <v>24</v>
      </c>
      <c r="D26" t="s">
        <v>25</v>
      </c>
      <c r="E26" t="s">
        <v>26</v>
      </c>
      <c r="F26" t="s">
        <v>27</v>
      </c>
      <c r="G26" t="s">
        <v>28</v>
      </c>
      <c r="H26" t="s">
        <v>29</v>
      </c>
      <c r="I26" t="s">
        <v>30</v>
      </c>
      <c r="J26">
        <v>0</v>
      </c>
      <c r="K26">
        <v>3</v>
      </c>
      <c r="L26">
        <v>0</v>
      </c>
      <c r="M26">
        <v>0</v>
      </c>
      <c r="N26">
        <v>0</v>
      </c>
      <c r="O26">
        <v>3</v>
      </c>
      <c r="P26" t="s">
        <v>31</v>
      </c>
      <c r="Q26" t="s">
        <v>32</v>
      </c>
      <c r="R26" t="s">
        <v>33</v>
      </c>
      <c r="S26" t="s">
        <v>32</v>
      </c>
      <c r="T26" t="s">
        <v>34</v>
      </c>
      <c r="U26" t="s">
        <v>32</v>
      </c>
    </row>
    <row r="27" spans="1:21" x14ac:dyDescent="0.3">
      <c r="A27">
        <v>2025</v>
      </c>
      <c r="B27">
        <v>7</v>
      </c>
      <c r="C27" t="s">
        <v>24</v>
      </c>
      <c r="D27" t="s">
        <v>35</v>
      </c>
      <c r="E27" t="s">
        <v>26</v>
      </c>
      <c r="F27" t="s">
        <v>36</v>
      </c>
      <c r="G27" t="s">
        <v>28</v>
      </c>
      <c r="H27" t="s">
        <v>29</v>
      </c>
      <c r="I27" t="s">
        <v>30</v>
      </c>
      <c r="J27">
        <v>0</v>
      </c>
      <c r="K27">
        <v>1</v>
      </c>
      <c r="L27">
        <v>0</v>
      </c>
      <c r="M27">
        <v>0</v>
      </c>
      <c r="N27">
        <v>0</v>
      </c>
      <c r="O27">
        <v>1</v>
      </c>
      <c r="P27" t="s">
        <v>31</v>
      </c>
      <c r="Q27" t="s">
        <v>32</v>
      </c>
      <c r="R27" t="s">
        <v>37</v>
      </c>
      <c r="S27" t="s">
        <v>32</v>
      </c>
      <c r="T27" t="s">
        <v>38</v>
      </c>
      <c r="U27" t="s">
        <v>32</v>
      </c>
    </row>
    <row r="28" spans="1:21" x14ac:dyDescent="0.3">
      <c r="A28">
        <v>2025</v>
      </c>
      <c r="B28">
        <v>8</v>
      </c>
      <c r="C28" t="s">
        <v>24</v>
      </c>
      <c r="D28" t="s">
        <v>39</v>
      </c>
      <c r="E28" t="s">
        <v>26</v>
      </c>
      <c r="F28" t="s">
        <v>27</v>
      </c>
      <c r="G28" t="s">
        <v>28</v>
      </c>
      <c r="H28" t="s">
        <v>29</v>
      </c>
      <c r="I28" t="s">
        <v>30</v>
      </c>
      <c r="J28">
        <v>0</v>
      </c>
      <c r="K28">
        <v>3</v>
      </c>
      <c r="L28">
        <v>0</v>
      </c>
      <c r="M28">
        <v>0</v>
      </c>
      <c r="N28">
        <v>0</v>
      </c>
      <c r="O28">
        <v>3</v>
      </c>
      <c r="P28" t="s">
        <v>31</v>
      </c>
      <c r="Q28" t="s">
        <v>40</v>
      </c>
      <c r="R28" t="s">
        <v>41</v>
      </c>
      <c r="S28" t="s">
        <v>32</v>
      </c>
      <c r="T28" t="s">
        <v>42</v>
      </c>
      <c r="U28" t="s">
        <v>32</v>
      </c>
    </row>
    <row r="29" spans="1:21" x14ac:dyDescent="0.3">
      <c r="A29">
        <v>2025</v>
      </c>
      <c r="B29">
        <v>9</v>
      </c>
      <c r="C29" t="s">
        <v>24</v>
      </c>
      <c r="D29" t="s">
        <v>43</v>
      </c>
      <c r="E29" t="s">
        <v>26</v>
      </c>
      <c r="F29" t="s">
        <v>27</v>
      </c>
      <c r="G29" t="s">
        <v>28</v>
      </c>
      <c r="H29" t="s">
        <v>29</v>
      </c>
      <c r="I29" t="s">
        <v>30</v>
      </c>
      <c r="J29">
        <v>0</v>
      </c>
      <c r="K29">
        <v>3</v>
      </c>
      <c r="L29">
        <v>0</v>
      </c>
      <c r="M29">
        <v>0</v>
      </c>
      <c r="N29">
        <v>0</v>
      </c>
      <c r="O29">
        <v>3</v>
      </c>
      <c r="P29" t="s">
        <v>31</v>
      </c>
      <c r="Q29" t="s">
        <v>32</v>
      </c>
      <c r="R29" t="s">
        <v>44</v>
      </c>
      <c r="S29" t="s">
        <v>32</v>
      </c>
      <c r="T29" t="s">
        <v>45</v>
      </c>
      <c r="U29" t="s">
        <v>32</v>
      </c>
    </row>
    <row r="30" spans="1:21" x14ac:dyDescent="0.3">
      <c r="A30">
        <v>2025</v>
      </c>
      <c r="B30">
        <v>10</v>
      </c>
      <c r="C30" t="s">
        <v>24</v>
      </c>
      <c r="D30" t="s">
        <v>46</v>
      </c>
      <c r="E30" t="s">
        <v>26</v>
      </c>
      <c r="F30" t="s">
        <v>27</v>
      </c>
      <c r="G30" t="s">
        <v>28</v>
      </c>
      <c r="H30" t="s">
        <v>29</v>
      </c>
      <c r="I30" t="s">
        <v>30</v>
      </c>
      <c r="J30">
        <v>0</v>
      </c>
      <c r="K30">
        <v>3</v>
      </c>
      <c r="L30">
        <v>0</v>
      </c>
      <c r="M30">
        <v>0</v>
      </c>
      <c r="N30">
        <v>0</v>
      </c>
      <c r="O30">
        <v>3</v>
      </c>
      <c r="P30" t="s">
        <v>31</v>
      </c>
      <c r="Q30" t="s">
        <v>32</v>
      </c>
      <c r="R30" t="s">
        <v>47</v>
      </c>
      <c r="S30" t="s">
        <v>32</v>
      </c>
      <c r="T30" t="s">
        <v>48</v>
      </c>
      <c r="U30" t="s">
        <v>32</v>
      </c>
    </row>
    <row r="31" spans="1:21" x14ac:dyDescent="0.3">
      <c r="A31">
        <v>2025</v>
      </c>
      <c r="B31">
        <v>11</v>
      </c>
      <c r="C31" t="s">
        <v>24</v>
      </c>
      <c r="D31" t="s">
        <v>49</v>
      </c>
      <c r="E31" t="s">
        <v>26</v>
      </c>
      <c r="F31" t="s">
        <v>27</v>
      </c>
      <c r="G31" t="s">
        <v>28</v>
      </c>
      <c r="H31" t="s">
        <v>29</v>
      </c>
      <c r="I31" t="s">
        <v>30</v>
      </c>
      <c r="J31">
        <v>0</v>
      </c>
      <c r="K31">
        <v>3</v>
      </c>
      <c r="L31">
        <v>0</v>
      </c>
      <c r="M31">
        <v>0</v>
      </c>
      <c r="N31">
        <v>0</v>
      </c>
      <c r="O31">
        <v>3</v>
      </c>
      <c r="P31" t="s">
        <v>31</v>
      </c>
      <c r="Q31" t="s">
        <v>32</v>
      </c>
      <c r="R31" t="s">
        <v>50</v>
      </c>
      <c r="S31" t="s">
        <v>32</v>
      </c>
      <c r="T31" t="s">
        <v>51</v>
      </c>
      <c r="U31" t="s">
        <v>32</v>
      </c>
    </row>
    <row r="32" spans="1:21" x14ac:dyDescent="0.3">
      <c r="A32">
        <v>2025</v>
      </c>
      <c r="B32">
        <v>12</v>
      </c>
      <c r="C32" t="s">
        <v>24</v>
      </c>
      <c r="D32" t="s">
        <v>52</v>
      </c>
      <c r="E32" t="s">
        <v>26</v>
      </c>
      <c r="F32" t="s">
        <v>36</v>
      </c>
      <c r="G32" t="s">
        <v>28</v>
      </c>
      <c r="H32" t="s">
        <v>29</v>
      </c>
      <c r="I32" t="s">
        <v>30</v>
      </c>
      <c r="J32">
        <v>0</v>
      </c>
      <c r="K32">
        <v>1</v>
      </c>
      <c r="L32">
        <v>0</v>
      </c>
      <c r="M32">
        <v>0</v>
      </c>
      <c r="N32">
        <v>0</v>
      </c>
      <c r="O32">
        <v>1</v>
      </c>
      <c r="P32" t="s">
        <v>31</v>
      </c>
      <c r="Q32" t="s">
        <v>32</v>
      </c>
      <c r="R32" t="s">
        <v>50</v>
      </c>
      <c r="S32" t="s">
        <v>32</v>
      </c>
      <c r="T32" t="s">
        <v>53</v>
      </c>
      <c r="U32" t="s">
        <v>32</v>
      </c>
    </row>
    <row r="33" spans="1:21" x14ac:dyDescent="0.3">
      <c r="A33">
        <v>2025</v>
      </c>
      <c r="B33">
        <v>13</v>
      </c>
      <c r="C33" t="s">
        <v>24</v>
      </c>
      <c r="D33" t="s">
        <v>54</v>
      </c>
      <c r="E33" t="s">
        <v>26</v>
      </c>
      <c r="F33" t="s">
        <v>27</v>
      </c>
      <c r="G33" t="s">
        <v>28</v>
      </c>
      <c r="H33" t="s">
        <v>29</v>
      </c>
      <c r="I33" t="s">
        <v>30</v>
      </c>
      <c r="J33">
        <v>0</v>
      </c>
      <c r="K33">
        <v>3</v>
      </c>
      <c r="L33">
        <v>0</v>
      </c>
      <c r="M33">
        <v>0</v>
      </c>
      <c r="N33">
        <v>0</v>
      </c>
      <c r="O33">
        <v>3</v>
      </c>
      <c r="P33" t="s">
        <v>31</v>
      </c>
      <c r="Q33" t="s">
        <v>32</v>
      </c>
      <c r="R33" t="s">
        <v>55</v>
      </c>
      <c r="S33" t="s">
        <v>32</v>
      </c>
      <c r="T33" t="s">
        <v>56</v>
      </c>
      <c r="U33" t="s">
        <v>32</v>
      </c>
    </row>
    <row r="34" spans="1:21" x14ac:dyDescent="0.3">
      <c r="A34">
        <v>2025</v>
      </c>
      <c r="B34">
        <v>14</v>
      </c>
      <c r="C34" t="s">
        <v>24</v>
      </c>
      <c r="D34" t="s">
        <v>57</v>
      </c>
      <c r="E34" t="s">
        <v>26</v>
      </c>
      <c r="F34" t="s">
        <v>27</v>
      </c>
      <c r="G34" t="s">
        <v>28</v>
      </c>
      <c r="H34" t="s">
        <v>29</v>
      </c>
      <c r="I34" t="s">
        <v>30</v>
      </c>
      <c r="J34">
        <v>0</v>
      </c>
      <c r="K34">
        <v>3</v>
      </c>
      <c r="L34">
        <v>0</v>
      </c>
      <c r="M34">
        <v>0</v>
      </c>
      <c r="N34">
        <v>0</v>
      </c>
      <c r="O34">
        <v>3</v>
      </c>
      <c r="P34" t="s">
        <v>31</v>
      </c>
      <c r="Q34" t="s">
        <v>32</v>
      </c>
      <c r="R34" t="s">
        <v>58</v>
      </c>
      <c r="S34" t="s">
        <v>32</v>
      </c>
      <c r="T34" t="s">
        <v>59</v>
      </c>
      <c r="U34" t="s">
        <v>32</v>
      </c>
    </row>
    <row r="35" spans="1:21" x14ac:dyDescent="0.3">
      <c r="A35">
        <v>2025</v>
      </c>
      <c r="B35">
        <v>15</v>
      </c>
      <c r="C35" t="s">
        <v>24</v>
      </c>
      <c r="D35" t="s">
        <v>60</v>
      </c>
      <c r="E35" t="s">
        <v>26</v>
      </c>
      <c r="F35" t="s">
        <v>61</v>
      </c>
      <c r="G35" t="s">
        <v>28</v>
      </c>
      <c r="H35" t="s">
        <v>29</v>
      </c>
      <c r="I35" t="s">
        <v>30</v>
      </c>
      <c r="J35">
        <v>0</v>
      </c>
      <c r="K35">
        <v>1</v>
      </c>
      <c r="L35">
        <v>0</v>
      </c>
      <c r="M35">
        <v>0</v>
      </c>
      <c r="N35">
        <v>0</v>
      </c>
      <c r="O35">
        <v>1</v>
      </c>
      <c r="P35" t="s">
        <v>31</v>
      </c>
      <c r="Q35" t="s">
        <v>32</v>
      </c>
      <c r="R35" t="s">
        <v>62</v>
      </c>
      <c r="S35" t="s">
        <v>32</v>
      </c>
      <c r="T35" t="s">
        <v>63</v>
      </c>
      <c r="U35" t="s">
        <v>32</v>
      </c>
    </row>
    <row r="36" spans="1:21" x14ac:dyDescent="0.3">
      <c r="A36">
        <v>2025</v>
      </c>
      <c r="B36">
        <v>16</v>
      </c>
      <c r="C36" t="s">
        <v>24</v>
      </c>
      <c r="D36" t="s">
        <v>64</v>
      </c>
      <c r="E36" t="s">
        <v>26</v>
      </c>
      <c r="F36" t="s">
        <v>27</v>
      </c>
      <c r="G36" t="s">
        <v>28</v>
      </c>
      <c r="H36" t="s">
        <v>29</v>
      </c>
      <c r="I36" t="s">
        <v>30</v>
      </c>
      <c r="J36">
        <v>0</v>
      </c>
      <c r="K36">
        <v>3</v>
      </c>
      <c r="L36">
        <v>0</v>
      </c>
      <c r="M36">
        <v>0</v>
      </c>
      <c r="N36">
        <v>0</v>
      </c>
      <c r="O36">
        <v>3</v>
      </c>
      <c r="P36" t="s">
        <v>31</v>
      </c>
      <c r="Q36" t="s">
        <v>32</v>
      </c>
      <c r="R36" t="s">
        <v>65</v>
      </c>
      <c r="S36" t="s">
        <v>32</v>
      </c>
      <c r="T36" t="s">
        <v>66</v>
      </c>
      <c r="U36" t="s">
        <v>32</v>
      </c>
    </row>
    <row r="37" spans="1:21" x14ac:dyDescent="0.3">
      <c r="A37">
        <v>2025</v>
      </c>
      <c r="B37">
        <v>17</v>
      </c>
      <c r="C37" t="s">
        <v>24</v>
      </c>
      <c r="D37" t="s">
        <v>67</v>
      </c>
      <c r="E37" t="s">
        <v>26</v>
      </c>
      <c r="F37" t="s">
        <v>27</v>
      </c>
      <c r="G37" t="s">
        <v>28</v>
      </c>
      <c r="H37" t="s">
        <v>29</v>
      </c>
      <c r="I37" t="s">
        <v>30</v>
      </c>
      <c r="J37">
        <v>0</v>
      </c>
      <c r="K37">
        <v>3</v>
      </c>
      <c r="L37">
        <v>0</v>
      </c>
      <c r="M37">
        <v>0</v>
      </c>
      <c r="N37">
        <v>0</v>
      </c>
      <c r="O37">
        <v>3</v>
      </c>
      <c r="P37" t="s">
        <v>31</v>
      </c>
      <c r="Q37" t="s">
        <v>32</v>
      </c>
      <c r="R37" t="s">
        <v>68</v>
      </c>
      <c r="S37" t="s">
        <v>32</v>
      </c>
      <c r="T37" t="s">
        <v>69</v>
      </c>
      <c r="U37" t="s">
        <v>32</v>
      </c>
    </row>
    <row r="38" spans="1:21" x14ac:dyDescent="0.3">
      <c r="A38">
        <v>2025</v>
      </c>
      <c r="B38">
        <v>18</v>
      </c>
      <c r="C38" t="s">
        <v>24</v>
      </c>
      <c r="D38" t="s">
        <v>70</v>
      </c>
      <c r="E38" t="s">
        <v>26</v>
      </c>
      <c r="F38" t="s">
        <v>27</v>
      </c>
      <c r="G38" t="s">
        <v>28</v>
      </c>
      <c r="H38" t="s">
        <v>29</v>
      </c>
      <c r="I38" t="s">
        <v>30</v>
      </c>
      <c r="J38">
        <v>0</v>
      </c>
      <c r="K38">
        <v>3</v>
      </c>
      <c r="L38">
        <v>0</v>
      </c>
      <c r="M38">
        <v>0</v>
      </c>
      <c r="N38">
        <v>0</v>
      </c>
      <c r="O38">
        <v>3</v>
      </c>
      <c r="P38" t="s">
        <v>31</v>
      </c>
      <c r="Q38" t="s">
        <v>32</v>
      </c>
      <c r="R38" t="s">
        <v>71</v>
      </c>
      <c r="S38" t="s">
        <v>32</v>
      </c>
      <c r="T38" t="s">
        <v>72</v>
      </c>
      <c r="U38" t="s">
        <v>32</v>
      </c>
    </row>
    <row r="39" spans="1:21" x14ac:dyDescent="0.3">
      <c r="A39">
        <v>2025</v>
      </c>
      <c r="B39">
        <v>19</v>
      </c>
      <c r="C39" t="s">
        <v>24</v>
      </c>
      <c r="D39" t="s">
        <v>73</v>
      </c>
      <c r="E39" t="s">
        <v>26</v>
      </c>
      <c r="F39" t="s">
        <v>27</v>
      </c>
      <c r="G39" t="s">
        <v>28</v>
      </c>
      <c r="H39" t="s">
        <v>29</v>
      </c>
      <c r="I39" t="s">
        <v>30</v>
      </c>
      <c r="J39">
        <v>0</v>
      </c>
      <c r="K39">
        <v>3</v>
      </c>
      <c r="L39">
        <v>0</v>
      </c>
      <c r="M39">
        <v>0</v>
      </c>
      <c r="N39">
        <v>0</v>
      </c>
      <c r="O39">
        <v>3</v>
      </c>
      <c r="P39" t="s">
        <v>31</v>
      </c>
      <c r="Q39" t="s">
        <v>32</v>
      </c>
      <c r="R39" t="s">
        <v>74</v>
      </c>
      <c r="S39" t="s">
        <v>32</v>
      </c>
      <c r="T39" t="s">
        <v>75</v>
      </c>
      <c r="U39" t="s">
        <v>32</v>
      </c>
    </row>
    <row r="40" spans="1:21" x14ac:dyDescent="0.3">
      <c r="A40">
        <v>2025</v>
      </c>
      <c r="B40">
        <v>20</v>
      </c>
      <c r="C40" t="s">
        <v>24</v>
      </c>
      <c r="D40" t="s">
        <v>76</v>
      </c>
      <c r="E40" t="s">
        <v>77</v>
      </c>
      <c r="F40" t="s">
        <v>36</v>
      </c>
      <c r="G40" t="s">
        <v>28</v>
      </c>
      <c r="H40" t="s">
        <v>29</v>
      </c>
      <c r="I40" t="s">
        <v>30</v>
      </c>
      <c r="J40">
        <v>3</v>
      </c>
      <c r="K40">
        <v>1</v>
      </c>
      <c r="L40">
        <v>0</v>
      </c>
      <c r="M40">
        <v>0</v>
      </c>
      <c r="N40">
        <v>0</v>
      </c>
      <c r="O40">
        <v>4</v>
      </c>
      <c r="P40" t="s">
        <v>31</v>
      </c>
      <c r="Q40" t="s">
        <v>78</v>
      </c>
      <c r="R40" t="s">
        <v>71</v>
      </c>
      <c r="S40" t="s">
        <v>32</v>
      </c>
      <c r="T40" t="s">
        <v>79</v>
      </c>
      <c r="U40" t="s">
        <v>32</v>
      </c>
    </row>
    <row r="41" spans="1:21" x14ac:dyDescent="0.3">
      <c r="A41">
        <v>2025</v>
      </c>
      <c r="B41">
        <v>21</v>
      </c>
      <c r="C41" t="s">
        <v>24</v>
      </c>
      <c r="D41" t="s">
        <v>80</v>
      </c>
      <c r="E41" t="s">
        <v>26</v>
      </c>
      <c r="F41" t="s">
        <v>27</v>
      </c>
      <c r="G41" t="s">
        <v>28</v>
      </c>
      <c r="H41" t="s">
        <v>29</v>
      </c>
      <c r="I41" t="s">
        <v>30</v>
      </c>
      <c r="J41">
        <v>0</v>
      </c>
      <c r="K41">
        <v>3</v>
      </c>
      <c r="L41">
        <v>0</v>
      </c>
      <c r="M41">
        <v>0</v>
      </c>
      <c r="N41">
        <v>0</v>
      </c>
      <c r="O41">
        <v>3</v>
      </c>
      <c r="P41" t="s">
        <v>31</v>
      </c>
      <c r="Q41" t="s">
        <v>32</v>
      </c>
      <c r="R41" t="s">
        <v>74</v>
      </c>
      <c r="S41" t="s">
        <v>32</v>
      </c>
      <c r="T41" t="s">
        <v>75</v>
      </c>
      <c r="U41" t="s">
        <v>32</v>
      </c>
    </row>
    <row r="42" spans="1:21" x14ac:dyDescent="0.3">
      <c r="A42">
        <v>2025</v>
      </c>
      <c r="B42">
        <v>22</v>
      </c>
      <c r="C42" t="s">
        <v>24</v>
      </c>
      <c r="D42" t="s">
        <v>81</v>
      </c>
      <c r="E42" t="s">
        <v>26</v>
      </c>
      <c r="F42" t="s">
        <v>30</v>
      </c>
      <c r="G42" t="s">
        <v>28</v>
      </c>
      <c r="H42" t="s">
        <v>29</v>
      </c>
      <c r="I42" t="s">
        <v>30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31</v>
      </c>
      <c r="Q42" t="s">
        <v>82</v>
      </c>
      <c r="R42" t="s">
        <v>83</v>
      </c>
      <c r="S42" t="s">
        <v>32</v>
      </c>
      <c r="T42" t="s">
        <v>84</v>
      </c>
      <c r="U42" t="s">
        <v>32</v>
      </c>
    </row>
    <row r="43" spans="1:21" x14ac:dyDescent="0.3">
      <c r="A43">
        <v>2025</v>
      </c>
      <c r="B43">
        <v>23</v>
      </c>
      <c r="C43" t="s">
        <v>24</v>
      </c>
      <c r="D43" t="s">
        <v>85</v>
      </c>
      <c r="E43" t="s">
        <v>26</v>
      </c>
      <c r="F43" t="s">
        <v>27</v>
      </c>
      <c r="G43" t="s">
        <v>28</v>
      </c>
      <c r="H43" t="s">
        <v>29</v>
      </c>
      <c r="I43" t="s">
        <v>30</v>
      </c>
      <c r="J43">
        <v>0</v>
      </c>
      <c r="K43">
        <v>3</v>
      </c>
      <c r="L43">
        <v>0</v>
      </c>
      <c r="M43">
        <v>0</v>
      </c>
      <c r="N43">
        <v>0</v>
      </c>
      <c r="O43">
        <v>3</v>
      </c>
      <c r="P43" t="s">
        <v>31</v>
      </c>
      <c r="Q43" t="s">
        <v>40</v>
      </c>
      <c r="R43" t="s">
        <v>86</v>
      </c>
      <c r="S43" t="s">
        <v>32</v>
      </c>
      <c r="T43" t="s">
        <v>87</v>
      </c>
      <c r="U43" t="s">
        <v>32</v>
      </c>
    </row>
    <row r="44" spans="1:21" x14ac:dyDescent="0.3">
      <c r="A44">
        <v>2025</v>
      </c>
      <c r="B44">
        <v>24</v>
      </c>
      <c r="C44" t="s">
        <v>24</v>
      </c>
      <c r="D44" t="s">
        <v>88</v>
      </c>
      <c r="E44" t="s">
        <v>26</v>
      </c>
      <c r="F44" t="s">
        <v>27</v>
      </c>
      <c r="G44" t="s">
        <v>28</v>
      </c>
      <c r="H44" t="s">
        <v>29</v>
      </c>
      <c r="I44" t="s">
        <v>30</v>
      </c>
      <c r="J44">
        <v>0</v>
      </c>
      <c r="K44">
        <v>3</v>
      </c>
      <c r="L44">
        <v>0</v>
      </c>
      <c r="M44">
        <v>0</v>
      </c>
      <c r="N44">
        <v>0</v>
      </c>
      <c r="O44">
        <v>3</v>
      </c>
      <c r="P44" t="s">
        <v>31</v>
      </c>
      <c r="Q44" t="s">
        <v>32</v>
      </c>
      <c r="R44" t="s">
        <v>83</v>
      </c>
      <c r="S44" t="s">
        <v>32</v>
      </c>
      <c r="T44" t="s">
        <v>89</v>
      </c>
      <c r="U44" t="s">
        <v>32</v>
      </c>
    </row>
    <row r="45" spans="1:21" x14ac:dyDescent="0.3">
      <c r="A45">
        <v>2025</v>
      </c>
      <c r="B45">
        <v>25</v>
      </c>
      <c r="C45" t="s">
        <v>24</v>
      </c>
      <c r="D45" t="s">
        <v>90</v>
      </c>
      <c r="E45" t="s">
        <v>26</v>
      </c>
      <c r="F45" t="s">
        <v>30</v>
      </c>
      <c r="G45" t="s">
        <v>28</v>
      </c>
      <c r="H45" t="s">
        <v>29</v>
      </c>
      <c r="I45" t="s">
        <v>30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31</v>
      </c>
      <c r="Q45" t="s">
        <v>91</v>
      </c>
      <c r="R45" t="s">
        <v>86</v>
      </c>
      <c r="S45" t="s">
        <v>32</v>
      </c>
      <c r="T45" t="s">
        <v>92</v>
      </c>
      <c r="U45" t="s">
        <v>32</v>
      </c>
    </row>
    <row r="46" spans="1:21" x14ac:dyDescent="0.3">
      <c r="A46">
        <v>2025</v>
      </c>
      <c r="B46">
        <v>26</v>
      </c>
      <c r="C46" t="s">
        <v>24</v>
      </c>
      <c r="D46" t="s">
        <v>93</v>
      </c>
      <c r="E46" t="s">
        <v>26</v>
      </c>
      <c r="F46" t="s">
        <v>27</v>
      </c>
      <c r="G46" t="s">
        <v>28</v>
      </c>
      <c r="H46" t="s">
        <v>29</v>
      </c>
      <c r="I46" t="s">
        <v>30</v>
      </c>
      <c r="J46">
        <v>0</v>
      </c>
      <c r="K46">
        <v>3</v>
      </c>
      <c r="L46">
        <v>0</v>
      </c>
      <c r="M46">
        <v>0</v>
      </c>
      <c r="N46">
        <v>0</v>
      </c>
      <c r="O46">
        <v>3</v>
      </c>
      <c r="P46" t="s">
        <v>31</v>
      </c>
      <c r="Q46" t="s">
        <v>40</v>
      </c>
      <c r="R46" t="s">
        <v>94</v>
      </c>
      <c r="S46" t="s">
        <v>32</v>
      </c>
      <c r="T46" t="s">
        <v>95</v>
      </c>
      <c r="U46" t="s">
        <v>32</v>
      </c>
    </row>
    <row r="47" spans="1:21" x14ac:dyDescent="0.3">
      <c r="A47">
        <v>2025</v>
      </c>
      <c r="B47">
        <v>27</v>
      </c>
      <c r="C47" t="s">
        <v>24</v>
      </c>
      <c r="D47" t="s">
        <v>96</v>
      </c>
      <c r="E47" t="s">
        <v>26</v>
      </c>
      <c r="F47" t="s">
        <v>27</v>
      </c>
      <c r="G47" t="s">
        <v>28</v>
      </c>
      <c r="H47" t="s">
        <v>29</v>
      </c>
      <c r="I47" t="s">
        <v>30</v>
      </c>
      <c r="J47">
        <v>0</v>
      </c>
      <c r="K47">
        <v>3</v>
      </c>
      <c r="L47">
        <v>0</v>
      </c>
      <c r="M47">
        <v>0</v>
      </c>
      <c r="N47">
        <v>0</v>
      </c>
      <c r="O47">
        <v>3</v>
      </c>
      <c r="P47" t="s">
        <v>31</v>
      </c>
      <c r="Q47" t="s">
        <v>32</v>
      </c>
      <c r="R47" t="s">
        <v>97</v>
      </c>
      <c r="S47" t="s">
        <v>32</v>
      </c>
      <c r="T47" t="s">
        <v>98</v>
      </c>
      <c r="U47" t="s">
        <v>32</v>
      </c>
    </row>
    <row r="48" spans="1:21" x14ac:dyDescent="0.3">
      <c r="A48">
        <v>2025</v>
      </c>
      <c r="B48">
        <v>28</v>
      </c>
      <c r="C48" t="s">
        <v>24</v>
      </c>
      <c r="D48" t="s">
        <v>99</v>
      </c>
      <c r="E48" t="s">
        <v>26</v>
      </c>
      <c r="F48" t="s">
        <v>27</v>
      </c>
      <c r="G48" t="s">
        <v>28</v>
      </c>
      <c r="H48" t="s">
        <v>29</v>
      </c>
      <c r="I48" t="s">
        <v>30</v>
      </c>
      <c r="J48">
        <v>0</v>
      </c>
      <c r="K48">
        <v>3</v>
      </c>
      <c r="L48">
        <v>0</v>
      </c>
      <c r="M48">
        <v>0</v>
      </c>
      <c r="N48">
        <v>0</v>
      </c>
      <c r="O48">
        <v>3</v>
      </c>
      <c r="P48" t="s">
        <v>31</v>
      </c>
      <c r="Q48" t="s">
        <v>40</v>
      </c>
      <c r="R48" t="s">
        <v>100</v>
      </c>
      <c r="S48" t="s">
        <v>32</v>
      </c>
      <c r="T48" t="s">
        <v>101</v>
      </c>
      <c r="U48" t="s">
        <v>32</v>
      </c>
    </row>
    <row r="49" spans="1:21" x14ac:dyDescent="0.3">
      <c r="A49">
        <v>2025</v>
      </c>
      <c r="B49">
        <v>29</v>
      </c>
      <c r="C49" t="s">
        <v>24</v>
      </c>
      <c r="D49" t="s">
        <v>102</v>
      </c>
      <c r="E49" t="s">
        <v>26</v>
      </c>
      <c r="F49" t="s">
        <v>26</v>
      </c>
      <c r="G49" t="s">
        <v>28</v>
      </c>
      <c r="H49" t="s">
        <v>29</v>
      </c>
      <c r="I49" t="s">
        <v>30</v>
      </c>
      <c r="J49">
        <v>0</v>
      </c>
      <c r="K49" t="b">
        <v>0</v>
      </c>
      <c r="L49">
        <v>0</v>
      </c>
      <c r="M49">
        <v>0</v>
      </c>
      <c r="N49">
        <v>0</v>
      </c>
      <c r="O49">
        <v>0</v>
      </c>
      <c r="P49" t="s">
        <v>31</v>
      </c>
      <c r="Q49" t="s">
        <v>40</v>
      </c>
      <c r="R49" t="s">
        <v>100</v>
      </c>
      <c r="S49" t="s">
        <v>32</v>
      </c>
      <c r="T49" t="s">
        <v>103</v>
      </c>
      <c r="U49" t="s">
        <v>32</v>
      </c>
    </row>
    <row r="50" spans="1:21" x14ac:dyDescent="0.3">
      <c r="A50">
        <v>2025</v>
      </c>
      <c r="B50">
        <v>30</v>
      </c>
      <c r="C50" t="s">
        <v>24</v>
      </c>
      <c r="D50" t="s">
        <v>104</v>
      </c>
      <c r="E50" t="s">
        <v>26</v>
      </c>
      <c r="F50" t="s">
        <v>36</v>
      </c>
      <c r="G50" t="s">
        <v>28</v>
      </c>
      <c r="H50" t="s">
        <v>29</v>
      </c>
      <c r="I50" t="s">
        <v>30</v>
      </c>
      <c r="J50">
        <v>0</v>
      </c>
      <c r="K50">
        <v>1</v>
      </c>
      <c r="L50">
        <v>0</v>
      </c>
      <c r="M50">
        <v>0</v>
      </c>
      <c r="N50">
        <v>0</v>
      </c>
      <c r="O50">
        <v>1</v>
      </c>
      <c r="P50" t="s">
        <v>31</v>
      </c>
      <c r="Q50" t="s">
        <v>32</v>
      </c>
      <c r="R50" t="s">
        <v>100</v>
      </c>
      <c r="S50" t="s">
        <v>32</v>
      </c>
      <c r="T50" t="s">
        <v>105</v>
      </c>
      <c r="U50" t="s">
        <v>32</v>
      </c>
    </row>
    <row r="51" spans="1:21" x14ac:dyDescent="0.3">
      <c r="A51">
        <v>2025</v>
      </c>
      <c r="B51">
        <v>31</v>
      </c>
      <c r="C51" t="s">
        <v>24</v>
      </c>
      <c r="D51" t="s">
        <v>106</v>
      </c>
      <c r="E51" t="s">
        <v>26</v>
      </c>
      <c r="F51" t="s">
        <v>30</v>
      </c>
      <c r="G51" t="s">
        <v>28</v>
      </c>
      <c r="H51" t="s">
        <v>29</v>
      </c>
      <c r="I51" t="s">
        <v>30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31</v>
      </c>
      <c r="Q51" t="s">
        <v>107</v>
      </c>
      <c r="R51" t="s">
        <v>108</v>
      </c>
      <c r="S51" t="s">
        <v>32</v>
      </c>
      <c r="T51" t="s">
        <v>109</v>
      </c>
      <c r="U51" t="s">
        <v>32</v>
      </c>
    </row>
    <row r="52" spans="1:21" x14ac:dyDescent="0.3">
      <c r="A52">
        <v>2025</v>
      </c>
      <c r="B52">
        <v>32</v>
      </c>
      <c r="C52" t="s">
        <v>24</v>
      </c>
      <c r="D52" t="s">
        <v>110</v>
      </c>
      <c r="E52" t="s">
        <v>26</v>
      </c>
      <c r="F52" t="s">
        <v>27</v>
      </c>
      <c r="G52" t="s">
        <v>28</v>
      </c>
      <c r="H52" t="s">
        <v>29</v>
      </c>
      <c r="I52" t="s">
        <v>30</v>
      </c>
      <c r="J52">
        <v>0</v>
      </c>
      <c r="K52">
        <v>3</v>
      </c>
      <c r="L52">
        <v>0</v>
      </c>
      <c r="M52">
        <v>0</v>
      </c>
      <c r="N52">
        <v>0</v>
      </c>
      <c r="O52">
        <v>3</v>
      </c>
      <c r="P52" t="s">
        <v>31</v>
      </c>
      <c r="Q52" t="s">
        <v>32</v>
      </c>
      <c r="R52" t="s">
        <v>111</v>
      </c>
      <c r="S52" t="s">
        <v>32</v>
      </c>
      <c r="T52" t="s">
        <v>112</v>
      </c>
      <c r="U52" t="s">
        <v>32</v>
      </c>
    </row>
    <row r="53" spans="1:21" x14ac:dyDescent="0.3">
      <c r="A53">
        <v>2025</v>
      </c>
      <c r="B53">
        <v>33</v>
      </c>
      <c r="C53" t="s">
        <v>24</v>
      </c>
      <c r="D53" t="s">
        <v>113</v>
      </c>
      <c r="E53" t="s">
        <v>26</v>
      </c>
      <c r="F53" t="s">
        <v>27</v>
      </c>
      <c r="G53" t="s">
        <v>28</v>
      </c>
      <c r="H53" t="s">
        <v>29</v>
      </c>
      <c r="I53" t="s">
        <v>30</v>
      </c>
      <c r="J53">
        <v>0</v>
      </c>
      <c r="K53">
        <v>3</v>
      </c>
      <c r="L53">
        <v>0</v>
      </c>
      <c r="M53">
        <v>0</v>
      </c>
      <c r="N53">
        <v>0</v>
      </c>
      <c r="O53">
        <v>3</v>
      </c>
      <c r="P53" t="s">
        <v>31</v>
      </c>
      <c r="Q53" t="s">
        <v>32</v>
      </c>
      <c r="R53" t="s">
        <v>114</v>
      </c>
      <c r="S53" t="s">
        <v>32</v>
      </c>
      <c r="T53" t="s">
        <v>115</v>
      </c>
      <c r="U53" t="s">
        <v>32</v>
      </c>
    </row>
    <row r="54" spans="1:21" x14ac:dyDescent="0.3">
      <c r="A54">
        <v>2025</v>
      </c>
      <c r="B54">
        <v>34</v>
      </c>
      <c r="C54" t="s">
        <v>24</v>
      </c>
      <c r="D54" t="s">
        <v>116</v>
      </c>
      <c r="E54" t="s">
        <v>26</v>
      </c>
      <c r="F54" t="s">
        <v>27</v>
      </c>
      <c r="G54" t="s">
        <v>28</v>
      </c>
      <c r="H54" t="s">
        <v>29</v>
      </c>
      <c r="I54" t="s">
        <v>30</v>
      </c>
      <c r="J54">
        <v>0</v>
      </c>
      <c r="K54">
        <v>3</v>
      </c>
      <c r="L54">
        <v>0</v>
      </c>
      <c r="M54">
        <v>0</v>
      </c>
      <c r="N54">
        <v>0</v>
      </c>
      <c r="O54">
        <v>3</v>
      </c>
      <c r="P54" t="s">
        <v>31</v>
      </c>
      <c r="Q54" t="s">
        <v>40</v>
      </c>
      <c r="R54" t="s">
        <v>117</v>
      </c>
      <c r="S54" t="s">
        <v>32</v>
      </c>
      <c r="T54" t="s">
        <v>118</v>
      </c>
      <c r="U54" t="s">
        <v>32</v>
      </c>
    </row>
    <row r="55" spans="1:21" x14ac:dyDescent="0.3">
      <c r="A55">
        <v>2025</v>
      </c>
      <c r="B55">
        <v>35</v>
      </c>
      <c r="C55" t="s">
        <v>119</v>
      </c>
      <c r="D55" t="s">
        <v>120</v>
      </c>
      <c r="E55" t="s">
        <v>26</v>
      </c>
      <c r="F55" t="s">
        <v>27</v>
      </c>
      <c r="G55" t="s">
        <v>28</v>
      </c>
      <c r="H55" t="s">
        <v>29</v>
      </c>
      <c r="I55" t="s">
        <v>30</v>
      </c>
      <c r="J55">
        <v>0</v>
      </c>
      <c r="K55">
        <v>3</v>
      </c>
      <c r="L55">
        <v>0</v>
      </c>
      <c r="M55">
        <v>0</v>
      </c>
      <c r="N55">
        <v>0</v>
      </c>
      <c r="O55">
        <v>3</v>
      </c>
      <c r="P55" t="s">
        <v>31</v>
      </c>
      <c r="Q55" t="s">
        <v>32</v>
      </c>
      <c r="R55" t="s">
        <v>121</v>
      </c>
      <c r="S55" t="s">
        <v>32</v>
      </c>
      <c r="T55" t="s">
        <v>122</v>
      </c>
      <c r="U55" t="s">
        <v>32</v>
      </c>
    </row>
    <row r="56" spans="1:21" x14ac:dyDescent="0.3">
      <c r="A56">
        <v>2025</v>
      </c>
      <c r="B56">
        <v>36</v>
      </c>
      <c r="C56" t="s">
        <v>119</v>
      </c>
      <c r="D56" t="s">
        <v>123</v>
      </c>
      <c r="E56" t="s">
        <v>26</v>
      </c>
      <c r="F56" t="s">
        <v>27</v>
      </c>
      <c r="G56" t="s">
        <v>28</v>
      </c>
      <c r="H56" t="s">
        <v>29</v>
      </c>
      <c r="I56" t="s">
        <v>30</v>
      </c>
      <c r="J56">
        <v>0</v>
      </c>
      <c r="K56">
        <v>3</v>
      </c>
      <c r="L56">
        <v>0</v>
      </c>
      <c r="M56">
        <v>0</v>
      </c>
      <c r="N56">
        <v>0</v>
      </c>
      <c r="O56">
        <v>3</v>
      </c>
      <c r="P56" t="s">
        <v>31</v>
      </c>
      <c r="Q56" t="s">
        <v>32</v>
      </c>
      <c r="R56" t="s">
        <v>124</v>
      </c>
      <c r="S56" t="s">
        <v>32</v>
      </c>
      <c r="T56" t="s">
        <v>125</v>
      </c>
      <c r="U56" t="s">
        <v>32</v>
      </c>
    </row>
    <row r="57" spans="1:21" x14ac:dyDescent="0.3">
      <c r="A57">
        <v>2025</v>
      </c>
      <c r="B57">
        <v>37</v>
      </c>
      <c r="C57" t="s">
        <v>126</v>
      </c>
      <c r="D57" t="s">
        <v>127</v>
      </c>
      <c r="E57" t="s">
        <v>26</v>
      </c>
      <c r="F57" t="s">
        <v>27</v>
      </c>
      <c r="G57" t="s">
        <v>28</v>
      </c>
      <c r="H57" t="s">
        <v>29</v>
      </c>
      <c r="I57" t="s">
        <v>30</v>
      </c>
      <c r="J57">
        <v>0</v>
      </c>
      <c r="K57">
        <v>3</v>
      </c>
      <c r="L57">
        <v>0</v>
      </c>
      <c r="M57">
        <v>0</v>
      </c>
      <c r="N57">
        <v>0</v>
      </c>
      <c r="O57">
        <v>3</v>
      </c>
      <c r="P57" t="s">
        <v>31</v>
      </c>
      <c r="Q57" t="s">
        <v>32</v>
      </c>
      <c r="R57" t="s">
        <v>128</v>
      </c>
      <c r="S57" t="s">
        <v>32</v>
      </c>
      <c r="T57" t="s">
        <v>129</v>
      </c>
      <c r="U57" t="s">
        <v>32</v>
      </c>
    </row>
    <row r="58" spans="1:21" x14ac:dyDescent="0.3">
      <c r="A58">
        <v>2025</v>
      </c>
      <c r="B58">
        <v>38</v>
      </c>
      <c r="C58" t="s">
        <v>130</v>
      </c>
      <c r="D58" t="s">
        <v>131</v>
      </c>
      <c r="E58" t="s">
        <v>26</v>
      </c>
      <c r="F58" t="s">
        <v>27</v>
      </c>
      <c r="G58" t="s">
        <v>28</v>
      </c>
      <c r="H58" t="s">
        <v>29</v>
      </c>
      <c r="I58" t="s">
        <v>30</v>
      </c>
      <c r="J58">
        <v>0</v>
      </c>
      <c r="K58">
        <v>3</v>
      </c>
      <c r="L58">
        <v>0</v>
      </c>
      <c r="M58">
        <v>0</v>
      </c>
      <c r="N58">
        <v>0</v>
      </c>
      <c r="O58">
        <v>3</v>
      </c>
      <c r="P58" t="s">
        <v>31</v>
      </c>
      <c r="Q58" t="s">
        <v>32</v>
      </c>
      <c r="R58" t="s">
        <v>132</v>
      </c>
      <c r="S58" t="s">
        <v>32</v>
      </c>
      <c r="T58" t="s">
        <v>133</v>
      </c>
      <c r="U58" t="s">
        <v>32</v>
      </c>
    </row>
  </sheetData>
  <phoneticPr fontId="2" type="noConversion"/>
  <pageMargins left="0.7" right="0.7" top="0.75" bottom="0.75" header="0.3" footer="0.3"/>
  <ignoredErrors>
    <ignoredError sqref="E1:U1 C6:G6 B3:U4 E2:U2 C22:G25 C21:G21 R21:U21 C8:G20 C7:G7 R7:U7 C5:G5 I5:U5 I6:U6 I22:U25 I21:P21 I8:U20 I7:P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4DD3A-F952-462A-88C4-36257EF954A5}">
  <sheetPr>
    <pageSetUpPr fitToPage="1"/>
  </sheetPr>
  <dimension ref="A2:S35"/>
  <sheetViews>
    <sheetView view="pageBreakPreview" zoomScaleNormal="100" zoomScaleSheetLayoutView="100" workbookViewId="0">
      <selection activeCell="J6" sqref="J6"/>
    </sheetView>
  </sheetViews>
  <sheetFormatPr defaultRowHeight="16.5" x14ac:dyDescent="0.3"/>
  <cols>
    <col min="1" max="2" width="8.88671875" style="3"/>
    <col min="3" max="3" width="10.33203125" style="7" customWidth="1"/>
    <col min="4" max="7" width="8.88671875" style="3"/>
    <col min="8" max="8" width="12.33203125" style="7" customWidth="1"/>
    <col min="9" max="12" width="8.88671875" style="3"/>
    <col min="13" max="13" width="12.33203125" style="7" customWidth="1"/>
    <col min="14" max="15" width="3.88671875" style="7" customWidth="1"/>
    <col min="16" max="16" width="10.33203125" style="7" customWidth="1"/>
    <col min="17" max="16384" width="8.88671875" style="3"/>
  </cols>
  <sheetData>
    <row r="2" spans="1:19" x14ac:dyDescent="0.3">
      <c r="A2" s="1" t="s">
        <v>194</v>
      </c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9" ht="6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9" x14ac:dyDescent="0.3">
      <c r="A4" s="10" t="s">
        <v>195</v>
      </c>
      <c r="B4" s="12"/>
      <c r="C4" s="10" t="s">
        <v>213</v>
      </c>
      <c r="D4" s="12"/>
      <c r="E4" s="10" t="s">
        <v>196</v>
      </c>
      <c r="F4" s="12"/>
      <c r="G4" s="10" t="s">
        <v>197</v>
      </c>
      <c r="H4" s="11"/>
      <c r="I4" s="12"/>
      <c r="J4" s="10" t="s">
        <v>198</v>
      </c>
      <c r="K4" s="11"/>
      <c r="L4" s="12"/>
      <c r="M4" s="10" t="s">
        <v>199</v>
      </c>
      <c r="N4" s="11"/>
      <c r="O4" s="11"/>
      <c r="P4" s="12"/>
    </row>
    <row r="5" spans="1:19" x14ac:dyDescent="0.3">
      <c r="A5" s="10" t="s">
        <v>200</v>
      </c>
      <c r="B5" s="12"/>
      <c r="C5" s="10" t="str">
        <f>RawData!C2</f>
        <v>성남시</v>
      </c>
      <c r="D5" s="12"/>
      <c r="E5" s="10" t="s">
        <v>201</v>
      </c>
      <c r="F5" s="12"/>
      <c r="G5" s="10" t="s">
        <v>212</v>
      </c>
      <c r="H5" s="11"/>
      <c r="I5" s="12"/>
      <c r="J5" s="10" t="str">
        <f>RawData!B2</f>
        <v>경기철도㈜</v>
      </c>
      <c r="K5" s="11"/>
      <c r="L5" s="12"/>
      <c r="M5" s="10" t="s">
        <v>202</v>
      </c>
      <c r="N5" s="11"/>
      <c r="O5" s="11"/>
      <c r="P5" s="12"/>
    </row>
    <row r="6" spans="1:19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9" x14ac:dyDescent="0.3">
      <c r="A7" s="13" t="s">
        <v>4</v>
      </c>
      <c r="B7" s="13" t="s">
        <v>5</v>
      </c>
      <c r="C7" s="13" t="s">
        <v>6</v>
      </c>
      <c r="D7" s="15" t="s">
        <v>203</v>
      </c>
      <c r="E7" s="11"/>
      <c r="F7" s="11"/>
      <c r="G7" s="11"/>
      <c r="H7" s="12"/>
      <c r="I7" s="15" t="s">
        <v>204</v>
      </c>
      <c r="J7" s="11"/>
      <c r="K7" s="11"/>
      <c r="L7" s="11"/>
      <c r="M7" s="12"/>
      <c r="N7" s="13" t="s">
        <v>17</v>
      </c>
      <c r="O7" s="13" t="s">
        <v>18</v>
      </c>
      <c r="P7" s="13" t="s">
        <v>205</v>
      </c>
    </row>
    <row r="8" spans="1:19" s="5" customFormat="1" ht="24.75" customHeight="1" x14ac:dyDescent="0.3">
      <c r="A8" s="14"/>
      <c r="B8" s="14"/>
      <c r="C8" s="14"/>
      <c r="D8" s="4" t="s">
        <v>7</v>
      </c>
      <c r="E8" s="4" t="s">
        <v>8</v>
      </c>
      <c r="F8" s="4" t="s">
        <v>9</v>
      </c>
      <c r="G8" s="4" t="s">
        <v>10</v>
      </c>
      <c r="H8" s="4" t="s">
        <v>206</v>
      </c>
      <c r="I8" s="4" t="s">
        <v>207</v>
      </c>
      <c r="J8" s="4" t="s">
        <v>8</v>
      </c>
      <c r="K8" s="4" t="s">
        <v>9</v>
      </c>
      <c r="L8" s="4" t="s">
        <v>208</v>
      </c>
      <c r="M8" s="4" t="s">
        <v>16</v>
      </c>
      <c r="N8" s="14"/>
      <c r="O8" s="14"/>
      <c r="P8" s="14"/>
      <c r="Q8" s="3"/>
      <c r="R8" s="3"/>
      <c r="S8" s="3"/>
    </row>
    <row r="9" spans="1:19" x14ac:dyDescent="0.3">
      <c r="A9" s="6" t="str">
        <f>RIGHT(RawData!B5,2)</f>
        <v>1</v>
      </c>
      <c r="B9" s="6" t="str">
        <f>RawData!C5</f>
        <v>성남대로</v>
      </c>
      <c r="C9" s="6" t="str">
        <f>RawData!D5</f>
        <v>26-성남시-01</v>
      </c>
      <c r="D9" s="6" t="str">
        <f>RawData!E5</f>
        <v>양호</v>
      </c>
      <c r="E9" s="6" t="str">
        <f>RawData!F5</f>
        <v>거북등</v>
      </c>
      <c r="F9" s="6" t="str">
        <f>RawData!G5</f>
        <v>양호</v>
      </c>
      <c r="G9" s="6">
        <v>10.3</v>
      </c>
      <c r="H9" s="6" t="str">
        <f>RawData!I5</f>
        <v>-</v>
      </c>
      <c r="I9" s="6">
        <f t="shared" ref="I9:I29" si="0">IF(D9="양호",0,IF(D9&gt;=100,9,IF(D9&gt;=50,3,IF(D9&lt;50,0))))</f>
        <v>0</v>
      </c>
      <c r="J9" s="6">
        <f t="shared" ref="J9:J29" si="1">IF(E9="거북등",3,IF(RIGHT(E9,2)="균열",1,IF(E9="-",0)))</f>
        <v>3</v>
      </c>
      <c r="K9" s="6">
        <f t="shared" ref="K9:K29" si="2">IF(F9="유출",9,IF(F9="습윤",1,IF(F9="양호",0,IF(F9="건조",0))))</f>
        <v>0</v>
      </c>
      <c r="L9" s="6">
        <f>IF(G9&gt;=30,2,IF(G9&gt;=10,1,0))</f>
        <v>1</v>
      </c>
      <c r="M9" s="6">
        <f t="shared" ref="M9:M29" si="3">IF(H9="-",0,1)</f>
        <v>0</v>
      </c>
      <c r="N9" s="6">
        <f t="shared" ref="N9:N29" si="4">SUM(I9:M9)</f>
        <v>4</v>
      </c>
      <c r="O9" s="6" t="str">
        <f t="shared" ref="O9:O29" si="5">IF(N9&lt;6,"일반",IF(N9&lt;9,"우선",IF(N9&gt;=9,"긴급")))</f>
        <v>일반</v>
      </c>
      <c r="P9" s="6" t="str">
        <f>RawData!Q5</f>
        <v>-</v>
      </c>
    </row>
    <row r="10" spans="1:19" x14ac:dyDescent="0.3">
      <c r="A10" s="6" t="str">
        <f>RIGHT(RawData!B6,2)</f>
        <v>2</v>
      </c>
      <c r="B10" s="6" t="str">
        <f>RawData!C6</f>
        <v>성남대로</v>
      </c>
      <c r="C10" s="6" t="str">
        <f>RawData!D6</f>
        <v>26-성남시-02</v>
      </c>
      <c r="D10" s="6" t="str">
        <f>RawData!E6</f>
        <v>양호</v>
      </c>
      <c r="E10" s="6" t="str">
        <f>RawData!F6</f>
        <v>종,횡균열</v>
      </c>
      <c r="F10" s="6" t="str">
        <f>RawData!G6</f>
        <v>양호</v>
      </c>
      <c r="G10" s="6">
        <f>RawData!H6</f>
        <v>10.3</v>
      </c>
      <c r="H10" s="6" t="str">
        <f>RawData!I6</f>
        <v>-</v>
      </c>
      <c r="I10" s="6">
        <f t="shared" si="0"/>
        <v>0</v>
      </c>
      <c r="J10" s="6">
        <f t="shared" si="1"/>
        <v>1</v>
      </c>
      <c r="K10" s="6">
        <f t="shared" si="2"/>
        <v>0</v>
      </c>
      <c r="L10" s="6">
        <f t="shared" ref="L10:L29" si="6">IF(G10&gt;=30,2,IF(G10&gt;=10,1,0))</f>
        <v>1</v>
      </c>
      <c r="M10" s="6">
        <f t="shared" si="3"/>
        <v>0</v>
      </c>
      <c r="N10" s="6">
        <f t="shared" si="4"/>
        <v>2</v>
      </c>
      <c r="O10" s="6" t="str">
        <f t="shared" si="5"/>
        <v>일반</v>
      </c>
      <c r="P10" s="6" t="str">
        <f>RawData!Q6</f>
        <v>-</v>
      </c>
    </row>
    <row r="11" spans="1:19" x14ac:dyDescent="0.3">
      <c r="A11" s="6" t="str">
        <f>RIGHT(RawData!B7,2)</f>
        <v>3</v>
      </c>
      <c r="B11" s="6" t="str">
        <f>RawData!C7</f>
        <v>성남대로</v>
      </c>
      <c r="C11" s="6" t="str">
        <f>RawData!D7</f>
        <v>26-성남시-03</v>
      </c>
      <c r="D11" s="6" t="str">
        <f>RawData!E7</f>
        <v>양호</v>
      </c>
      <c r="E11" s="6" t="str">
        <f>RawData!F7</f>
        <v>종균열</v>
      </c>
      <c r="F11" s="6" t="str">
        <f>RawData!G7</f>
        <v>양호</v>
      </c>
      <c r="G11" s="6">
        <f>RawData!H7</f>
        <v>10.3</v>
      </c>
      <c r="H11" s="6" t="str">
        <f>RawData!I7</f>
        <v>-</v>
      </c>
      <c r="I11" s="6">
        <f t="shared" si="0"/>
        <v>0</v>
      </c>
      <c r="J11" s="6">
        <f t="shared" si="1"/>
        <v>1</v>
      </c>
      <c r="K11" s="6">
        <f t="shared" si="2"/>
        <v>0</v>
      </c>
      <c r="L11" s="6">
        <f t="shared" si="6"/>
        <v>1</v>
      </c>
      <c r="M11" s="6">
        <f t="shared" si="3"/>
        <v>0</v>
      </c>
      <c r="N11" s="6">
        <f t="shared" si="4"/>
        <v>2</v>
      </c>
      <c r="O11" s="6" t="str">
        <f t="shared" si="5"/>
        <v>일반</v>
      </c>
      <c r="P11" s="8" t="str">
        <f>RawData!Q7</f>
        <v>5cm이하 침하 (바퀴자리)</v>
      </c>
    </row>
    <row r="12" spans="1:19" x14ac:dyDescent="0.3">
      <c r="A12" s="6" t="str">
        <f>RIGHT(RawData!B8,2)</f>
        <v>4</v>
      </c>
      <c r="B12" s="6" t="str">
        <f>RawData!C8</f>
        <v>성남대로</v>
      </c>
      <c r="C12" s="6" t="str">
        <f>RawData!D8</f>
        <v>26-성남시-04</v>
      </c>
      <c r="D12" s="6" t="str">
        <f>RawData!E8</f>
        <v>양호</v>
      </c>
      <c r="E12" s="6" t="str">
        <f>RawData!F8</f>
        <v>거북등</v>
      </c>
      <c r="F12" s="6" t="str">
        <f>RawData!G8</f>
        <v>양호</v>
      </c>
      <c r="G12" s="6">
        <f>RawData!H8</f>
        <v>10.3</v>
      </c>
      <c r="H12" s="6" t="str">
        <f>RawData!I8</f>
        <v>-</v>
      </c>
      <c r="I12" s="6">
        <f t="shared" si="0"/>
        <v>0</v>
      </c>
      <c r="J12" s="6">
        <f t="shared" si="1"/>
        <v>3</v>
      </c>
      <c r="K12" s="6">
        <f t="shared" si="2"/>
        <v>0</v>
      </c>
      <c r="L12" s="6">
        <f t="shared" si="6"/>
        <v>1</v>
      </c>
      <c r="M12" s="6">
        <f t="shared" si="3"/>
        <v>0</v>
      </c>
      <c r="N12" s="6">
        <f t="shared" si="4"/>
        <v>4</v>
      </c>
      <c r="O12" s="6" t="str">
        <f t="shared" si="5"/>
        <v>일반</v>
      </c>
      <c r="P12" s="6" t="str">
        <f>RawData!Q8</f>
        <v>-</v>
      </c>
    </row>
    <row r="13" spans="1:19" x14ac:dyDescent="0.3">
      <c r="A13" s="6" t="str">
        <f>RIGHT(RawData!B9,2)</f>
        <v>5</v>
      </c>
      <c r="B13" s="6" t="str">
        <f>RawData!C9</f>
        <v>성남대로</v>
      </c>
      <c r="C13" s="6" t="str">
        <f>RawData!D9</f>
        <v>26-성남시-05</v>
      </c>
      <c r="D13" s="6" t="str">
        <f>RawData!E9</f>
        <v>양호</v>
      </c>
      <c r="E13" s="6" t="str">
        <f>RawData!F9</f>
        <v>거북등</v>
      </c>
      <c r="F13" s="6" t="str">
        <f>RawData!G9</f>
        <v>양호</v>
      </c>
      <c r="G13" s="6">
        <f>RawData!H9</f>
        <v>10.3</v>
      </c>
      <c r="H13" s="6" t="str">
        <f>RawData!I9</f>
        <v>-</v>
      </c>
      <c r="I13" s="6">
        <f t="shared" si="0"/>
        <v>0</v>
      </c>
      <c r="J13" s="6">
        <f t="shared" si="1"/>
        <v>3</v>
      </c>
      <c r="K13" s="6">
        <f t="shared" si="2"/>
        <v>0</v>
      </c>
      <c r="L13" s="6">
        <f t="shared" si="6"/>
        <v>1</v>
      </c>
      <c r="M13" s="6">
        <f t="shared" si="3"/>
        <v>0</v>
      </c>
      <c r="N13" s="6">
        <f t="shared" si="4"/>
        <v>4</v>
      </c>
      <c r="O13" s="6" t="str">
        <f t="shared" si="5"/>
        <v>일반</v>
      </c>
      <c r="P13" s="6" t="str">
        <f>RawData!Q9</f>
        <v>-</v>
      </c>
    </row>
    <row r="14" spans="1:19" x14ac:dyDescent="0.3">
      <c r="A14" s="6" t="str">
        <f>RIGHT(RawData!B10,2)</f>
        <v>6</v>
      </c>
      <c r="B14" s="6" t="str">
        <f>RawData!C10</f>
        <v>성남대로</v>
      </c>
      <c r="C14" s="6" t="str">
        <f>RawData!D10</f>
        <v>26-성남시-06</v>
      </c>
      <c r="D14" s="6" t="str">
        <f>RawData!E10</f>
        <v>양호</v>
      </c>
      <c r="E14" s="6" t="str">
        <f>RawData!F10</f>
        <v>횡균열</v>
      </c>
      <c r="F14" s="6" t="str">
        <f>RawData!G10</f>
        <v>양호</v>
      </c>
      <c r="G14" s="6">
        <f>RawData!H10</f>
        <v>10.3</v>
      </c>
      <c r="H14" s="6" t="str">
        <f>RawData!I10</f>
        <v>-</v>
      </c>
      <c r="I14" s="6">
        <f t="shared" si="0"/>
        <v>0</v>
      </c>
      <c r="J14" s="6">
        <f t="shared" si="1"/>
        <v>1</v>
      </c>
      <c r="K14" s="6">
        <f t="shared" si="2"/>
        <v>0</v>
      </c>
      <c r="L14" s="6">
        <f t="shared" si="6"/>
        <v>1</v>
      </c>
      <c r="M14" s="6">
        <f t="shared" si="3"/>
        <v>0</v>
      </c>
      <c r="N14" s="6">
        <f t="shared" si="4"/>
        <v>2</v>
      </c>
      <c r="O14" s="6" t="str">
        <f t="shared" si="5"/>
        <v>일반</v>
      </c>
      <c r="P14" s="6" t="str">
        <f>RawData!Q10</f>
        <v>-</v>
      </c>
    </row>
    <row r="15" spans="1:19" x14ac:dyDescent="0.3">
      <c r="A15" s="6" t="str">
        <f>RIGHT(RawData!B11,2)</f>
        <v>7</v>
      </c>
      <c r="B15" s="6" t="str">
        <f>RawData!C11</f>
        <v>성남대로</v>
      </c>
      <c r="C15" s="6" t="str">
        <f>RawData!D11</f>
        <v>26-성남시-07</v>
      </c>
      <c r="D15" s="6" t="str">
        <f>RawData!E11</f>
        <v>양호</v>
      </c>
      <c r="E15" s="6" t="str">
        <f>RawData!F11</f>
        <v>종균열</v>
      </c>
      <c r="F15" s="6" t="str">
        <f>RawData!G11</f>
        <v>양호</v>
      </c>
      <c r="G15" s="6">
        <f>RawData!H11</f>
        <v>10.3</v>
      </c>
      <c r="H15" s="6" t="str">
        <f>RawData!I11</f>
        <v>-</v>
      </c>
      <c r="I15" s="6">
        <f t="shared" si="0"/>
        <v>0</v>
      </c>
      <c r="J15" s="6">
        <f t="shared" si="1"/>
        <v>1</v>
      </c>
      <c r="K15" s="6">
        <f t="shared" si="2"/>
        <v>0</v>
      </c>
      <c r="L15" s="6">
        <f t="shared" si="6"/>
        <v>1</v>
      </c>
      <c r="M15" s="6">
        <f t="shared" si="3"/>
        <v>0</v>
      </c>
      <c r="N15" s="6">
        <f t="shared" si="4"/>
        <v>2</v>
      </c>
      <c r="O15" s="6" t="str">
        <f t="shared" si="5"/>
        <v>일반</v>
      </c>
      <c r="P15" s="6" t="str">
        <f>RawData!Q11</f>
        <v>-</v>
      </c>
    </row>
    <row r="16" spans="1:19" x14ac:dyDescent="0.3">
      <c r="A16" s="6" t="str">
        <f>RIGHT(RawData!B12,2)</f>
        <v>8</v>
      </c>
      <c r="B16" s="6" t="str">
        <f>RawData!C12</f>
        <v>성남대로</v>
      </c>
      <c r="C16" s="6" t="str">
        <f>RawData!D12</f>
        <v>26-성남시-08</v>
      </c>
      <c r="D16" s="6" t="str">
        <f>RawData!E12</f>
        <v>양호</v>
      </c>
      <c r="E16" s="6" t="str">
        <f>RawData!F12</f>
        <v>종횡균열</v>
      </c>
      <c r="F16" s="6" t="str">
        <f>RawData!G12</f>
        <v>양호</v>
      </c>
      <c r="G16" s="6">
        <f>RawData!H12</f>
        <v>10.3</v>
      </c>
      <c r="H16" s="6" t="str">
        <f>RawData!I12</f>
        <v>-</v>
      </c>
      <c r="I16" s="6">
        <f t="shared" si="0"/>
        <v>0</v>
      </c>
      <c r="J16" s="6">
        <f t="shared" si="1"/>
        <v>1</v>
      </c>
      <c r="K16" s="6">
        <f t="shared" si="2"/>
        <v>0</v>
      </c>
      <c r="L16" s="6">
        <f t="shared" si="6"/>
        <v>1</v>
      </c>
      <c r="M16" s="6">
        <f t="shared" si="3"/>
        <v>0</v>
      </c>
      <c r="N16" s="6">
        <f t="shared" si="4"/>
        <v>2</v>
      </c>
      <c r="O16" s="6" t="str">
        <f t="shared" si="5"/>
        <v>일반</v>
      </c>
      <c r="P16" s="6" t="str">
        <f>RawData!Q12</f>
        <v>5cm이하 침하</v>
      </c>
    </row>
    <row r="17" spans="1:16" x14ac:dyDescent="0.3">
      <c r="A17" s="6" t="str">
        <f>RIGHT(RawData!B13,2)</f>
        <v>9</v>
      </c>
      <c r="B17" s="6" t="str">
        <f>RawData!C13</f>
        <v>성남대로</v>
      </c>
      <c r="C17" s="6" t="str">
        <f>RawData!D13</f>
        <v>26-성남시-09</v>
      </c>
      <c r="D17" s="6" t="str">
        <f>RawData!E13</f>
        <v>양호</v>
      </c>
      <c r="E17" s="6" t="str">
        <f>RawData!F13</f>
        <v>거북등</v>
      </c>
      <c r="F17" s="6" t="str">
        <f>RawData!G13</f>
        <v>양호</v>
      </c>
      <c r="G17" s="6">
        <f>RawData!H13</f>
        <v>10.3</v>
      </c>
      <c r="H17" s="6" t="str">
        <f>RawData!I13</f>
        <v>-</v>
      </c>
      <c r="I17" s="6">
        <f t="shared" si="0"/>
        <v>0</v>
      </c>
      <c r="J17" s="6">
        <f t="shared" si="1"/>
        <v>3</v>
      </c>
      <c r="K17" s="6">
        <f t="shared" si="2"/>
        <v>0</v>
      </c>
      <c r="L17" s="6">
        <f t="shared" si="6"/>
        <v>1</v>
      </c>
      <c r="M17" s="6">
        <f t="shared" si="3"/>
        <v>0</v>
      </c>
      <c r="N17" s="6">
        <f t="shared" si="4"/>
        <v>4</v>
      </c>
      <c r="O17" s="6" t="str">
        <f t="shared" si="5"/>
        <v>일반</v>
      </c>
      <c r="P17" s="6" t="str">
        <f>RawData!Q13</f>
        <v>5cm이하 침하</v>
      </c>
    </row>
    <row r="18" spans="1:16" x14ac:dyDescent="0.3">
      <c r="A18" s="6" t="str">
        <f>RIGHT(RawData!B14,2)</f>
        <v>10</v>
      </c>
      <c r="B18" s="6" t="str">
        <f>RawData!C14</f>
        <v>성남대로</v>
      </c>
      <c r="C18" s="6" t="str">
        <f>RawData!D14</f>
        <v>26-성남시-10</v>
      </c>
      <c r="D18" s="6" t="str">
        <f>RawData!E14</f>
        <v>양호</v>
      </c>
      <c r="E18" s="6" t="str">
        <f>RawData!F14</f>
        <v>종횡균열</v>
      </c>
      <c r="F18" s="6" t="str">
        <f>RawData!G14</f>
        <v>양호</v>
      </c>
      <c r="G18" s="6">
        <f>RawData!H14</f>
        <v>10.3</v>
      </c>
      <c r="H18" s="6" t="str">
        <f>RawData!I14</f>
        <v>-</v>
      </c>
      <c r="I18" s="6">
        <f t="shared" si="0"/>
        <v>0</v>
      </c>
      <c r="J18" s="6">
        <f t="shared" si="1"/>
        <v>1</v>
      </c>
      <c r="K18" s="6">
        <f t="shared" si="2"/>
        <v>0</v>
      </c>
      <c r="L18" s="6">
        <f t="shared" si="6"/>
        <v>1</v>
      </c>
      <c r="M18" s="6">
        <f t="shared" si="3"/>
        <v>0</v>
      </c>
      <c r="N18" s="6">
        <f t="shared" si="4"/>
        <v>2</v>
      </c>
      <c r="O18" s="6" t="str">
        <f t="shared" si="5"/>
        <v>일반</v>
      </c>
      <c r="P18" s="6" t="str">
        <f>RawData!Q14</f>
        <v>-</v>
      </c>
    </row>
    <row r="19" spans="1:16" x14ac:dyDescent="0.3">
      <c r="A19" s="6" t="str">
        <f>RIGHT(RawData!B15,2)</f>
        <v>11</v>
      </c>
      <c r="B19" s="6" t="str">
        <f>RawData!C15</f>
        <v>성남대로</v>
      </c>
      <c r="C19" s="6" t="str">
        <f>RawData!D15</f>
        <v>26-성남시-11</v>
      </c>
      <c r="D19" s="6" t="str">
        <f>RawData!E15</f>
        <v>양호</v>
      </c>
      <c r="E19" s="6" t="str">
        <f>RawData!F15</f>
        <v>횡균열</v>
      </c>
      <c r="F19" s="6" t="str">
        <f>RawData!G15</f>
        <v>양호</v>
      </c>
      <c r="G19" s="6">
        <f>RawData!H15</f>
        <v>10.3</v>
      </c>
      <c r="H19" s="6" t="str">
        <f>RawData!I15</f>
        <v>-</v>
      </c>
      <c r="I19" s="6">
        <f t="shared" si="0"/>
        <v>0</v>
      </c>
      <c r="J19" s="6">
        <f t="shared" si="1"/>
        <v>1</v>
      </c>
      <c r="K19" s="6">
        <f t="shared" si="2"/>
        <v>0</v>
      </c>
      <c r="L19" s="6">
        <f t="shared" si="6"/>
        <v>1</v>
      </c>
      <c r="M19" s="6">
        <f t="shared" si="3"/>
        <v>0</v>
      </c>
      <c r="N19" s="6">
        <f t="shared" si="4"/>
        <v>2</v>
      </c>
      <c r="O19" s="6" t="str">
        <f t="shared" si="5"/>
        <v>일반</v>
      </c>
      <c r="P19" s="6" t="str">
        <f>RawData!Q15</f>
        <v>-</v>
      </c>
    </row>
    <row r="20" spans="1:16" x14ac:dyDescent="0.3">
      <c r="A20" s="6" t="str">
        <f>RIGHT(RawData!B16,2)</f>
        <v>12</v>
      </c>
      <c r="B20" s="6" t="str">
        <f>RawData!C16</f>
        <v>성남대로</v>
      </c>
      <c r="C20" s="6" t="str">
        <f>RawData!D16</f>
        <v>26-성남시-12</v>
      </c>
      <c r="D20" s="6" t="str">
        <f>RawData!E16</f>
        <v>양호</v>
      </c>
      <c r="E20" s="6" t="str">
        <f>RawData!F16</f>
        <v>거북등</v>
      </c>
      <c r="F20" s="6" t="str">
        <f>RawData!G16</f>
        <v>양호</v>
      </c>
      <c r="G20" s="6">
        <f>RawData!H16</f>
        <v>10.3</v>
      </c>
      <c r="H20" s="6" t="str">
        <f>RawData!I16</f>
        <v>-</v>
      </c>
      <c r="I20" s="6">
        <f t="shared" si="0"/>
        <v>0</v>
      </c>
      <c r="J20" s="6">
        <f t="shared" si="1"/>
        <v>3</v>
      </c>
      <c r="K20" s="6">
        <f t="shared" si="2"/>
        <v>0</v>
      </c>
      <c r="L20" s="6">
        <f t="shared" si="6"/>
        <v>1</v>
      </c>
      <c r="M20" s="6">
        <f t="shared" si="3"/>
        <v>0</v>
      </c>
      <c r="N20" s="6">
        <f t="shared" si="4"/>
        <v>4</v>
      </c>
      <c r="O20" s="6" t="str">
        <f t="shared" si="5"/>
        <v>일반</v>
      </c>
      <c r="P20" s="6" t="str">
        <f>RawData!Q16</f>
        <v>-</v>
      </c>
    </row>
    <row r="21" spans="1:16" x14ac:dyDescent="0.3">
      <c r="A21" s="6" t="str">
        <f>RIGHT(RawData!B17,2)</f>
        <v>13</v>
      </c>
      <c r="B21" s="6" t="str">
        <f>RawData!C17</f>
        <v>성남대로</v>
      </c>
      <c r="C21" s="6" t="str">
        <f>RawData!D17</f>
        <v>26-성남시-13</v>
      </c>
      <c r="D21" s="6" t="str">
        <f>RawData!E17</f>
        <v>양호</v>
      </c>
      <c r="E21" s="6" t="str">
        <f>RawData!F17</f>
        <v>종횡균열</v>
      </c>
      <c r="F21" s="6" t="str">
        <f>RawData!G17</f>
        <v>양호</v>
      </c>
      <c r="G21" s="6">
        <f>RawData!H17</f>
        <v>10.3</v>
      </c>
      <c r="H21" s="6" t="str">
        <f>RawData!I17</f>
        <v>-</v>
      </c>
      <c r="I21" s="6">
        <f t="shared" si="0"/>
        <v>0</v>
      </c>
      <c r="J21" s="6">
        <f t="shared" si="1"/>
        <v>1</v>
      </c>
      <c r="K21" s="6">
        <f t="shared" si="2"/>
        <v>0</v>
      </c>
      <c r="L21" s="6">
        <f t="shared" si="6"/>
        <v>1</v>
      </c>
      <c r="M21" s="6">
        <f t="shared" si="3"/>
        <v>0</v>
      </c>
      <c r="N21" s="6">
        <f t="shared" si="4"/>
        <v>2</v>
      </c>
      <c r="O21" s="6" t="str">
        <f t="shared" si="5"/>
        <v>일반</v>
      </c>
      <c r="P21" s="6" t="str">
        <f>RawData!Q17</f>
        <v>-</v>
      </c>
    </row>
    <row r="22" spans="1:16" x14ac:dyDescent="0.3">
      <c r="A22" s="6" t="str">
        <f>RIGHT(RawData!B18,2)</f>
        <v>14</v>
      </c>
      <c r="B22" s="6" t="str">
        <f>RawData!C18</f>
        <v>성남대로</v>
      </c>
      <c r="C22" s="6" t="str">
        <f>RawData!D18</f>
        <v>26-성남시-14</v>
      </c>
      <c r="D22" s="6" t="str">
        <f>RawData!E18</f>
        <v>양호</v>
      </c>
      <c r="E22" s="6" t="str">
        <f>RawData!F18</f>
        <v>종횡균열</v>
      </c>
      <c r="F22" s="6" t="str">
        <f>RawData!G18</f>
        <v>양호</v>
      </c>
      <c r="G22" s="6">
        <f>RawData!H18</f>
        <v>10.3</v>
      </c>
      <c r="H22" s="6" t="str">
        <f>RawData!I18</f>
        <v>-</v>
      </c>
      <c r="I22" s="6">
        <f t="shared" si="0"/>
        <v>0</v>
      </c>
      <c r="J22" s="6">
        <f t="shared" si="1"/>
        <v>1</v>
      </c>
      <c r="K22" s="6">
        <f t="shared" si="2"/>
        <v>0</v>
      </c>
      <c r="L22" s="6">
        <f t="shared" si="6"/>
        <v>1</v>
      </c>
      <c r="M22" s="6">
        <f t="shared" si="3"/>
        <v>0</v>
      </c>
      <c r="N22" s="6">
        <f t="shared" si="4"/>
        <v>2</v>
      </c>
      <c r="O22" s="6" t="str">
        <f t="shared" si="5"/>
        <v>일반</v>
      </c>
      <c r="P22" s="6" t="str">
        <f>RawData!Q18</f>
        <v>-</v>
      </c>
    </row>
    <row r="23" spans="1:16" x14ac:dyDescent="0.3">
      <c r="A23" s="6" t="str">
        <f>RIGHT(RawData!B19,2)</f>
        <v>15</v>
      </c>
      <c r="B23" s="6" t="str">
        <f>RawData!C19</f>
        <v>성남대로</v>
      </c>
      <c r="C23" s="6" t="str">
        <f>RawData!D19</f>
        <v>26-성남시-15</v>
      </c>
      <c r="D23" s="6" t="str">
        <f>RawData!E19</f>
        <v>양호</v>
      </c>
      <c r="E23" s="6" t="str">
        <f>RawData!F19</f>
        <v>거북등</v>
      </c>
      <c r="F23" s="6" t="str">
        <f>RawData!G19</f>
        <v>양호</v>
      </c>
      <c r="G23" s="6">
        <f>RawData!H19</f>
        <v>10.3</v>
      </c>
      <c r="H23" s="6" t="str">
        <f>RawData!I19</f>
        <v>-</v>
      </c>
      <c r="I23" s="6">
        <f t="shared" si="0"/>
        <v>0</v>
      </c>
      <c r="J23" s="6">
        <f t="shared" si="1"/>
        <v>3</v>
      </c>
      <c r="K23" s="6">
        <f t="shared" si="2"/>
        <v>0</v>
      </c>
      <c r="L23" s="6">
        <f t="shared" si="6"/>
        <v>1</v>
      </c>
      <c r="M23" s="6">
        <f t="shared" si="3"/>
        <v>0</v>
      </c>
      <c r="N23" s="6">
        <f t="shared" si="4"/>
        <v>4</v>
      </c>
      <c r="O23" s="6" t="str">
        <f t="shared" si="5"/>
        <v>일반</v>
      </c>
      <c r="P23" s="6" t="str">
        <f>RawData!Q19</f>
        <v>-</v>
      </c>
    </row>
    <row r="24" spans="1:16" x14ac:dyDescent="0.3">
      <c r="A24" s="6" t="str">
        <f>RIGHT(RawData!B20,2)</f>
        <v>16</v>
      </c>
      <c r="B24" s="6" t="str">
        <f>RawData!C20</f>
        <v>성남대로</v>
      </c>
      <c r="C24" s="6" t="str">
        <f>RawData!D20</f>
        <v>26-성남시-16</v>
      </c>
      <c r="D24" s="6" t="str">
        <f>RawData!E20</f>
        <v>양호</v>
      </c>
      <c r="E24" s="6" t="str">
        <f>RawData!F20</f>
        <v>종균열</v>
      </c>
      <c r="F24" s="6" t="str">
        <f>RawData!G20</f>
        <v>양호</v>
      </c>
      <c r="G24" s="6">
        <f>RawData!H20</f>
        <v>10.3</v>
      </c>
      <c r="H24" s="6" t="str">
        <f>RawData!I20</f>
        <v>-</v>
      </c>
      <c r="I24" s="6">
        <f t="shared" si="0"/>
        <v>0</v>
      </c>
      <c r="J24" s="6">
        <f t="shared" si="1"/>
        <v>1</v>
      </c>
      <c r="K24" s="6">
        <f t="shared" si="2"/>
        <v>0</v>
      </c>
      <c r="L24" s="6">
        <f t="shared" si="6"/>
        <v>1</v>
      </c>
      <c r="M24" s="6">
        <f t="shared" si="3"/>
        <v>0</v>
      </c>
      <c r="N24" s="6">
        <f t="shared" si="4"/>
        <v>2</v>
      </c>
      <c r="O24" s="6" t="str">
        <f t="shared" si="5"/>
        <v>일반</v>
      </c>
      <c r="P24" s="6" t="str">
        <f>RawData!Q20</f>
        <v>-</v>
      </c>
    </row>
    <row r="25" spans="1:16" x14ac:dyDescent="0.3">
      <c r="A25" s="6" t="str">
        <f>RIGHT(RawData!B21,2)</f>
        <v>17</v>
      </c>
      <c r="B25" s="6" t="str">
        <f>RawData!C21</f>
        <v>성남대로</v>
      </c>
      <c r="C25" s="6" t="str">
        <f>RawData!D21</f>
        <v>26-성남시-17</v>
      </c>
      <c r="D25" s="6" t="str">
        <f>RawData!E21</f>
        <v>양호</v>
      </c>
      <c r="E25" s="6" t="s">
        <v>210</v>
      </c>
      <c r="F25" s="6" t="str">
        <f>RawData!G21</f>
        <v>양호</v>
      </c>
      <c r="G25" s="6">
        <f>RawData!H21</f>
        <v>10.3</v>
      </c>
      <c r="H25" s="6" t="str">
        <f>RawData!I21</f>
        <v>-</v>
      </c>
      <c r="I25" s="6">
        <f t="shared" si="0"/>
        <v>0</v>
      </c>
      <c r="J25" s="6">
        <f t="shared" si="1"/>
        <v>0</v>
      </c>
      <c r="K25" s="6">
        <f t="shared" si="2"/>
        <v>0</v>
      </c>
      <c r="L25" s="6">
        <f t="shared" si="6"/>
        <v>1</v>
      </c>
      <c r="M25" s="6">
        <f t="shared" si="3"/>
        <v>0</v>
      </c>
      <c r="N25" s="6">
        <f t="shared" si="4"/>
        <v>1</v>
      </c>
      <c r="O25" s="6" t="str">
        <f t="shared" si="5"/>
        <v>일반</v>
      </c>
      <c r="P25" s="8" t="str">
        <f>RawData!Q21</f>
        <v>5cm이하 침하 (바퀴자리)</v>
      </c>
    </row>
    <row r="26" spans="1:16" x14ac:dyDescent="0.3">
      <c r="A26" s="6" t="str">
        <f>RIGHT(RawData!B22,2)</f>
        <v>18</v>
      </c>
      <c r="B26" s="6" t="str">
        <f>RawData!C22</f>
        <v>성남대로</v>
      </c>
      <c r="C26" s="6" t="str">
        <f>RawData!D22</f>
        <v>26-성남시-18</v>
      </c>
      <c r="D26" s="6" t="str">
        <f>RawData!E22</f>
        <v>양호</v>
      </c>
      <c r="E26" s="6" t="str">
        <f>RawData!F22</f>
        <v>거북등</v>
      </c>
      <c r="F26" s="6" t="str">
        <f>RawData!G22</f>
        <v>양호</v>
      </c>
      <c r="G26" s="6">
        <f>RawData!H22</f>
        <v>10.3</v>
      </c>
      <c r="H26" s="6" t="str">
        <f>RawData!I22</f>
        <v>-</v>
      </c>
      <c r="I26" s="6">
        <f t="shared" si="0"/>
        <v>0</v>
      </c>
      <c r="J26" s="6">
        <f t="shared" si="1"/>
        <v>3</v>
      </c>
      <c r="K26" s="6">
        <f t="shared" si="2"/>
        <v>0</v>
      </c>
      <c r="L26" s="6">
        <f t="shared" si="6"/>
        <v>1</v>
      </c>
      <c r="M26" s="6">
        <f t="shared" si="3"/>
        <v>0</v>
      </c>
      <c r="N26" s="6">
        <f t="shared" si="4"/>
        <v>4</v>
      </c>
      <c r="O26" s="6" t="str">
        <f t="shared" si="5"/>
        <v>일반</v>
      </c>
      <c r="P26" s="6" t="str">
        <f>RawData!Q22</f>
        <v>5cm이하 침하</v>
      </c>
    </row>
    <row r="27" spans="1:16" x14ac:dyDescent="0.3">
      <c r="A27" s="6" t="str">
        <f>RIGHT(RawData!B23,2)</f>
        <v>19</v>
      </c>
      <c r="B27" s="6" t="str">
        <f>RawData!C23</f>
        <v>성남대로</v>
      </c>
      <c r="C27" s="6" t="str">
        <f>RawData!D23</f>
        <v>26-성남시-19</v>
      </c>
      <c r="D27" s="6" t="str">
        <f>RawData!E23</f>
        <v>양호</v>
      </c>
      <c r="E27" s="6" t="str">
        <f>RawData!F23</f>
        <v>거북등</v>
      </c>
      <c r="F27" s="6" t="str">
        <f>RawData!G23</f>
        <v>양호</v>
      </c>
      <c r="G27" s="6">
        <f>RawData!H23</f>
        <v>10.3</v>
      </c>
      <c r="H27" s="6" t="str">
        <f>RawData!I23</f>
        <v>-</v>
      </c>
      <c r="I27" s="6">
        <f t="shared" si="0"/>
        <v>0</v>
      </c>
      <c r="J27" s="6">
        <f t="shared" si="1"/>
        <v>3</v>
      </c>
      <c r="K27" s="6">
        <f t="shared" si="2"/>
        <v>0</v>
      </c>
      <c r="L27" s="6">
        <f t="shared" si="6"/>
        <v>1</v>
      </c>
      <c r="M27" s="6">
        <f t="shared" si="3"/>
        <v>0</v>
      </c>
      <c r="N27" s="6">
        <f t="shared" si="4"/>
        <v>4</v>
      </c>
      <c r="O27" s="6" t="str">
        <f t="shared" si="5"/>
        <v>일반</v>
      </c>
      <c r="P27" s="6" t="str">
        <f>RawData!Q23</f>
        <v>-</v>
      </c>
    </row>
    <row r="28" spans="1:16" x14ac:dyDescent="0.3">
      <c r="A28" s="6" t="str">
        <f>RIGHT(RawData!B24,2)</f>
        <v>20</v>
      </c>
      <c r="B28" s="6" t="str">
        <f>RawData!C24</f>
        <v>분당수서로</v>
      </c>
      <c r="C28" s="6" t="str">
        <f>RawData!D24</f>
        <v>26-성남시-20</v>
      </c>
      <c r="D28" s="6" t="str">
        <f>RawData!E24</f>
        <v>양호</v>
      </c>
      <c r="E28" s="6" t="str">
        <f>RawData!F24</f>
        <v>거북등</v>
      </c>
      <c r="F28" s="6" t="str">
        <f>RawData!G24</f>
        <v>양호</v>
      </c>
      <c r="G28" s="6">
        <f>RawData!H24</f>
        <v>10.3</v>
      </c>
      <c r="H28" s="6" t="str">
        <f>RawData!I24</f>
        <v>-</v>
      </c>
      <c r="I28" s="6">
        <f t="shared" si="0"/>
        <v>0</v>
      </c>
      <c r="J28" s="6">
        <f t="shared" si="1"/>
        <v>3</v>
      </c>
      <c r="K28" s="6">
        <f t="shared" si="2"/>
        <v>0</v>
      </c>
      <c r="L28" s="6">
        <f t="shared" si="6"/>
        <v>1</v>
      </c>
      <c r="M28" s="6">
        <f t="shared" si="3"/>
        <v>0</v>
      </c>
      <c r="N28" s="6">
        <f t="shared" si="4"/>
        <v>4</v>
      </c>
      <c r="O28" s="6" t="str">
        <f t="shared" si="5"/>
        <v>일반</v>
      </c>
      <c r="P28" s="6" t="str">
        <f>RawData!Q24</f>
        <v>-</v>
      </c>
    </row>
    <row r="29" spans="1:16" x14ac:dyDescent="0.3">
      <c r="A29" s="6" t="str">
        <f>RIGHT(RawData!B25,2)</f>
        <v>21</v>
      </c>
      <c r="B29" s="6" t="str">
        <f>RawData!C25</f>
        <v>대왕판교로</v>
      </c>
      <c r="C29" s="6" t="str">
        <f>RawData!D25</f>
        <v>26-성남시-21</v>
      </c>
      <c r="D29" s="6" t="str">
        <f>RawData!E25</f>
        <v>양호</v>
      </c>
      <c r="E29" s="6" t="str">
        <f>RawData!F25</f>
        <v>종횡균열</v>
      </c>
      <c r="F29" s="6" t="str">
        <f>RawData!G25</f>
        <v>양호</v>
      </c>
      <c r="G29" s="6">
        <f>RawData!H25</f>
        <v>10.3</v>
      </c>
      <c r="H29" s="6" t="str">
        <f>RawData!I25</f>
        <v>-</v>
      </c>
      <c r="I29" s="6">
        <f t="shared" si="0"/>
        <v>0</v>
      </c>
      <c r="J29" s="6">
        <f t="shared" si="1"/>
        <v>1</v>
      </c>
      <c r="K29" s="6">
        <f t="shared" si="2"/>
        <v>0</v>
      </c>
      <c r="L29" s="6">
        <f t="shared" si="6"/>
        <v>1</v>
      </c>
      <c r="M29" s="6">
        <f t="shared" si="3"/>
        <v>0</v>
      </c>
      <c r="N29" s="6">
        <f t="shared" si="4"/>
        <v>2</v>
      </c>
      <c r="O29" s="6" t="str">
        <f t="shared" si="5"/>
        <v>일반</v>
      </c>
      <c r="P29" s="6" t="str">
        <f>RawData!Q25</f>
        <v>-</v>
      </c>
    </row>
    <row r="30" spans="1:16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</sheetData>
  <mergeCells count="20">
    <mergeCell ref="O7:O8"/>
    <mergeCell ref="P7:P8"/>
    <mergeCell ref="A7:A8"/>
    <mergeCell ref="B7:B8"/>
    <mergeCell ref="C7:C8"/>
    <mergeCell ref="D7:H7"/>
    <mergeCell ref="I7:M7"/>
    <mergeCell ref="N7:N8"/>
    <mergeCell ref="M5:P5"/>
    <mergeCell ref="A4:B4"/>
    <mergeCell ref="C4:D4"/>
    <mergeCell ref="E4:F4"/>
    <mergeCell ref="G4:I4"/>
    <mergeCell ref="J4:L4"/>
    <mergeCell ref="M4:P4"/>
    <mergeCell ref="A5:B5"/>
    <mergeCell ref="C5:D5"/>
    <mergeCell ref="E5:F5"/>
    <mergeCell ref="G5:I5"/>
    <mergeCell ref="J5:L5"/>
  </mergeCells>
  <phoneticPr fontId="2" type="noConversion"/>
  <pageMargins left="0.7" right="0.7" top="0.75" bottom="0.75" header="0.3" footer="0.3"/>
  <pageSetup paperSize="9" scale="7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RawData</vt:lpstr>
      <vt:lpstr>V2</vt:lpstr>
      <vt:lpstr>'V2'!Print_Area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2026-06-09T00:39:17Z</dcterms:modified>
</cp:coreProperties>
</file>