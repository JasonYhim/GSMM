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  <sheet name="V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workbookViewId="0"/>
  </sheetViews>
  <sheetData>
    <row r="1">
      <c r="B1" t="str">
        <v>시행사 구분</v>
      </c>
      <c r="C1" t="str">
        <v>권역구 구분</v>
      </c>
    </row>
    <row r="2">
      <c r="B2" t="str">
        <v>경기철도㈜</v>
      </c>
      <c r="C2" t="str">
        <v>성남시</v>
      </c>
    </row>
    <row r="4">
      <c r="A4" t="str">
        <v>연도</v>
      </c>
      <c r="B4" t="str">
        <v>순번</v>
      </c>
      <c r="C4" t="str">
        <v>조사측선명</v>
      </c>
      <c r="D4" t="str">
        <v>손상구분번호</v>
      </c>
      <c r="E4" t="str">
        <v>침하(mm)</v>
      </c>
      <c r="F4" t="str">
        <v>균열</v>
      </c>
      <c r="G4" t="str">
        <v>습윤</v>
      </c>
      <c r="H4" t="str">
        <v>노후도(년)</v>
      </c>
      <c r="I4" t="str">
        <v>지반침하발생이력</v>
      </c>
      <c r="J4" t="str">
        <v>침하점수</v>
      </c>
      <c r="K4" t="str">
        <v>균열점수</v>
      </c>
      <c r="L4" t="str">
        <v>습윤점수</v>
      </c>
      <c r="M4" t="str">
        <v>노후도점수</v>
      </c>
      <c r="N4" t="str">
        <v>보수보강이력</v>
      </c>
      <c r="O4" t="str">
        <v>평가점수</v>
      </c>
      <c r="P4" t="str">
        <v>평가등급</v>
      </c>
      <c r="Q4" t="str">
        <v>조사자의견</v>
      </c>
      <c r="R4" t="str">
        <v>인접지번주소</v>
      </c>
      <c r="S4" t="str">
        <v>조사위치도</v>
      </c>
      <c r="T4" t="str">
        <v>부가정보1</v>
      </c>
      <c r="U4" t="str">
        <v>부가정보2</v>
      </c>
    </row>
    <row r="5">
      <c r="A5" t="str">
        <v>2026</v>
      </c>
      <c r="B5">
        <v>1</v>
      </c>
      <c r="C5" t="str">
        <v>성남대로</v>
      </c>
      <c r="D5" t="str">
        <v>26-성남시-01</v>
      </c>
      <c r="E5" t="str">
        <v>양호</v>
      </c>
      <c r="F5" t="str">
        <v>거북등</v>
      </c>
      <c r="G5" t="str">
        <v>양호</v>
      </c>
      <c r="H5">
        <v>10.3</v>
      </c>
      <c r="I5" t="str">
        <v>-</v>
      </c>
      <c r="J5">
        <v>0</v>
      </c>
      <c r="K5">
        <v>3</v>
      </c>
      <c r="L5">
        <v>0</v>
      </c>
      <c r="M5">
        <v>1</v>
      </c>
      <c r="N5">
        <v>0</v>
      </c>
      <c r="O5">
        <v>4</v>
      </c>
      <c r="P5" t="str">
        <v>일반</v>
      </c>
      <c r="Q5" t="str">
        <v>-</v>
      </c>
      <c r="R5" t="str">
        <v>정자동180</v>
      </c>
      <c r="S5" t="str">
        <v/>
      </c>
      <c r="T5" t="str">
        <v>미켈란쉐르빌아파트 앞 양차선(정자일로100)</v>
      </c>
      <c r="U5" t="str">
        <v/>
      </c>
    </row>
    <row r="6">
      <c r="A6" t="str">
        <v>2026</v>
      </c>
      <c r="B6">
        <v>2</v>
      </c>
      <c r="C6" t="str">
        <v>성남대로</v>
      </c>
      <c r="D6" t="str">
        <v>26-성남시-02</v>
      </c>
      <c r="E6" t="str">
        <v>양호</v>
      </c>
      <c r="F6" t="str">
        <v>종,횡균열</v>
      </c>
      <c r="G6" t="str">
        <v>양호</v>
      </c>
      <c r="H6">
        <v>10.3</v>
      </c>
      <c r="I6" t="str">
        <v>-</v>
      </c>
      <c r="J6">
        <v>0</v>
      </c>
      <c r="K6">
        <v>1</v>
      </c>
      <c r="L6">
        <v>0</v>
      </c>
      <c r="M6">
        <v>1</v>
      </c>
      <c r="N6">
        <v>0</v>
      </c>
      <c r="O6">
        <v>2</v>
      </c>
      <c r="P6" t="str">
        <v>일반</v>
      </c>
      <c r="Q6" t="str">
        <v>-</v>
      </c>
      <c r="R6" t="str">
        <v>정자동181</v>
      </c>
      <c r="S6" t="str">
        <v/>
      </c>
      <c r="T6" t="str">
        <v>상록마을 임광보성아파트 406동 앞 도로(정자일로80)</v>
      </c>
      <c r="U6" t="str">
        <v/>
      </c>
    </row>
    <row r="7">
      <c r="A7" t="str">
        <v>2026</v>
      </c>
      <c r="B7">
        <v>3</v>
      </c>
      <c r="C7" t="str">
        <v>성남대로</v>
      </c>
      <c r="D7" t="str">
        <v>26-성남시-03</v>
      </c>
      <c r="E7" t="str">
        <v>양호</v>
      </c>
      <c r="F7" t="str">
        <v>종균열</v>
      </c>
      <c r="G7" t="str">
        <v>양호</v>
      </c>
      <c r="H7">
        <v>10.3</v>
      </c>
      <c r="I7" t="str">
        <v>-</v>
      </c>
      <c r="J7">
        <v>0</v>
      </c>
      <c r="K7">
        <v>1</v>
      </c>
      <c r="L7">
        <v>0</v>
      </c>
      <c r="M7">
        <v>1</v>
      </c>
      <c r="N7">
        <v>0</v>
      </c>
      <c r="O7">
        <v>2</v>
      </c>
      <c r="P7" t="str">
        <v>일반</v>
      </c>
      <c r="Q7" t="str">
        <v>5cm이하 침하 (바퀴자리)</v>
      </c>
      <c r="R7" t="str">
        <v>정자동181</v>
      </c>
      <c r="S7" t="str">
        <v/>
      </c>
      <c r="T7" t="str">
        <v>상록마을 임광보성아파트 408동 앞 도로(정자일로80)</v>
      </c>
      <c r="U7" t="str">
        <v/>
      </c>
    </row>
    <row r="8">
      <c r="A8" t="str">
        <v>2026</v>
      </c>
      <c r="B8">
        <v>4</v>
      </c>
      <c r="C8" t="str">
        <v>성남대로</v>
      </c>
      <c r="D8" t="str">
        <v>26-성남시-04</v>
      </c>
      <c r="E8" t="str">
        <v>양호</v>
      </c>
      <c r="F8" t="str">
        <v>거북등</v>
      </c>
      <c r="G8" t="str">
        <v>양호</v>
      </c>
      <c r="H8">
        <v>10.3</v>
      </c>
      <c r="I8" t="str">
        <v>-</v>
      </c>
      <c r="J8">
        <v>0</v>
      </c>
      <c r="K8">
        <v>3</v>
      </c>
      <c r="L8">
        <v>0</v>
      </c>
      <c r="M8">
        <v>1</v>
      </c>
      <c r="N8">
        <v>0</v>
      </c>
      <c r="O8">
        <v>4</v>
      </c>
      <c r="P8" t="str">
        <v>일반</v>
      </c>
      <c r="Q8" t="str">
        <v>-</v>
      </c>
      <c r="R8" t="str">
        <v>성남 금곡사거리</v>
      </c>
      <c r="S8" t="str">
        <v/>
      </c>
      <c r="T8" t="str">
        <v>금곡사거리</v>
      </c>
      <c r="U8" t="str">
        <v/>
      </c>
    </row>
    <row r="9">
      <c r="A9" t="str">
        <v>2026</v>
      </c>
      <c r="B9">
        <v>5</v>
      </c>
      <c r="C9" t="str">
        <v>성남대로</v>
      </c>
      <c r="D9" t="str">
        <v>26-성남시-05</v>
      </c>
      <c r="E9" t="str">
        <v>양호</v>
      </c>
      <c r="F9" t="str">
        <v>거북등</v>
      </c>
      <c r="G9" t="str">
        <v>양호</v>
      </c>
      <c r="H9">
        <v>10.3</v>
      </c>
      <c r="I9" t="str">
        <v>-</v>
      </c>
      <c r="J9">
        <v>0</v>
      </c>
      <c r="K9">
        <v>3</v>
      </c>
      <c r="L9">
        <v>0</v>
      </c>
      <c r="M9">
        <v>1</v>
      </c>
      <c r="N9">
        <v>0</v>
      </c>
      <c r="O9">
        <v>4</v>
      </c>
      <c r="P9" t="str">
        <v>일반</v>
      </c>
      <c r="Q9" t="str">
        <v>-</v>
      </c>
      <c r="R9" t="str">
        <v>청솔마을 사거리</v>
      </c>
      <c r="S9" t="str">
        <v/>
      </c>
      <c r="T9" t="str">
        <v>청솔마을사거리</v>
      </c>
      <c r="U9" t="str">
        <v/>
      </c>
    </row>
    <row r="10">
      <c r="A10" t="str">
        <v>2026</v>
      </c>
      <c r="B10">
        <v>6</v>
      </c>
      <c r="C10" t="str">
        <v>성남대로</v>
      </c>
      <c r="D10" t="str">
        <v>26-성남시-06</v>
      </c>
      <c r="E10" t="str">
        <v>양호</v>
      </c>
      <c r="F10" t="str">
        <v>횡균열</v>
      </c>
      <c r="G10" t="str">
        <v>양호</v>
      </c>
      <c r="H10">
        <v>10.3</v>
      </c>
      <c r="I10" t="str">
        <v>-</v>
      </c>
      <c r="J10">
        <v>0</v>
      </c>
      <c r="K10">
        <v>1</v>
      </c>
      <c r="L10">
        <v>0</v>
      </c>
      <c r="M10">
        <v>1</v>
      </c>
      <c r="N10">
        <v>0</v>
      </c>
      <c r="O10">
        <v>2</v>
      </c>
      <c r="P10" t="str">
        <v>일반</v>
      </c>
      <c r="Q10" t="str">
        <v>-</v>
      </c>
      <c r="R10" t="str">
        <v>분당구 금곡동176</v>
      </c>
      <c r="S10" t="str">
        <v/>
      </c>
      <c r="T10" t="str">
        <v>청솔마을계룡아파트 112동 앞 도로(정자일로30)</v>
      </c>
      <c r="U10" t="str">
        <v/>
      </c>
    </row>
    <row r="11">
      <c r="A11" t="str">
        <v>2026</v>
      </c>
      <c r="B11">
        <v>7</v>
      </c>
      <c r="C11" t="str">
        <v>성남대로</v>
      </c>
      <c r="D11" t="str">
        <v>26-성남시-07</v>
      </c>
      <c r="E11" t="str">
        <v>양호</v>
      </c>
      <c r="F11" t="str">
        <v>종균열</v>
      </c>
      <c r="G11" t="str">
        <v>양호</v>
      </c>
      <c r="H11">
        <v>10.3</v>
      </c>
      <c r="I11" t="str">
        <v>-</v>
      </c>
      <c r="J11">
        <v>0</v>
      </c>
      <c r="K11">
        <v>1</v>
      </c>
      <c r="L11">
        <v>0</v>
      </c>
      <c r="M11">
        <v>1</v>
      </c>
      <c r="N11">
        <v>0</v>
      </c>
      <c r="O11">
        <v>2</v>
      </c>
      <c r="P11" t="str">
        <v>일반</v>
      </c>
      <c r="Q11" t="str">
        <v>-</v>
      </c>
      <c r="R11" t="str">
        <v>분당구 금곡동176</v>
      </c>
      <c r="S11" t="str">
        <v/>
      </c>
      <c r="T11" t="str">
        <v>청솔마을계룡아파트 어린이놀이터 앞 도로(정자일로30)</v>
      </c>
      <c r="U11" t="str">
        <v/>
      </c>
    </row>
    <row r="12">
      <c r="A12" t="str">
        <v>2026</v>
      </c>
      <c r="B12">
        <v>8</v>
      </c>
      <c r="C12" t="str">
        <v>성남대로</v>
      </c>
      <c r="D12" t="str">
        <v>26-성남시-08</v>
      </c>
      <c r="E12" t="str">
        <v>양호</v>
      </c>
      <c r="F12" t="str">
        <v>종횡균열</v>
      </c>
      <c r="G12" t="str">
        <v>양호</v>
      </c>
      <c r="H12">
        <v>10.3</v>
      </c>
      <c r="I12" t="str">
        <v>-</v>
      </c>
      <c r="J12">
        <v>0</v>
      </c>
      <c r="K12">
        <v>1</v>
      </c>
      <c r="L12">
        <v>0</v>
      </c>
      <c r="M12">
        <v>1</v>
      </c>
      <c r="N12">
        <v>0</v>
      </c>
      <c r="O12">
        <v>2</v>
      </c>
      <c r="P12" t="str">
        <v>일반</v>
      </c>
      <c r="Q12" t="str">
        <v>5cm이하 침하</v>
      </c>
      <c r="R12" t="str">
        <v>분당구 금곡동177</v>
      </c>
      <c r="S12" t="str">
        <v/>
      </c>
      <c r="T12" t="str">
        <v>청솔마을서광영남아파트 101동 앞 도로(성남대로171번길8</v>
      </c>
      <c r="U12" t="str">
        <v/>
      </c>
    </row>
    <row r="13">
      <c r="A13" t="str">
        <v>2026</v>
      </c>
      <c r="B13">
        <v>9</v>
      </c>
      <c r="C13" t="str">
        <v>성남대로</v>
      </c>
      <c r="D13" t="str">
        <v>26-성남시-09</v>
      </c>
      <c r="E13" t="str">
        <v>양호</v>
      </c>
      <c r="F13" t="str">
        <v>거북등</v>
      </c>
      <c r="G13" t="str">
        <v>양호</v>
      </c>
      <c r="H13">
        <v>10.3</v>
      </c>
      <c r="I13" t="str">
        <v>-</v>
      </c>
      <c r="J13">
        <v>0</v>
      </c>
      <c r="K13">
        <v>3</v>
      </c>
      <c r="L13">
        <v>0</v>
      </c>
      <c r="M13">
        <v>1</v>
      </c>
      <c r="N13">
        <v>0</v>
      </c>
      <c r="O13">
        <v>4</v>
      </c>
      <c r="P13" t="str">
        <v>일반</v>
      </c>
      <c r="Q13" t="str">
        <v>5cm이하 침하</v>
      </c>
      <c r="R13" t="str">
        <v>분당구 금곡동177</v>
      </c>
      <c r="S13" t="str">
        <v/>
      </c>
      <c r="T13" t="str">
        <v>청솔마을서광영남아파트 103동 앞 도로(성남대로171번길8)</v>
      </c>
      <c r="U13" t="str">
        <v/>
      </c>
    </row>
    <row r="14">
      <c r="A14" t="str">
        <v>2026</v>
      </c>
      <c r="B14">
        <v>10</v>
      </c>
      <c r="C14" t="str">
        <v>성남대로</v>
      </c>
      <c r="D14" t="str">
        <v>26-성남시-10</v>
      </c>
      <c r="E14" t="str">
        <v>양호</v>
      </c>
      <c r="F14" t="str">
        <v>종횡균열</v>
      </c>
      <c r="G14" t="str">
        <v>양호</v>
      </c>
      <c r="H14">
        <v>10.3</v>
      </c>
      <c r="I14" t="str">
        <v>-</v>
      </c>
      <c r="J14">
        <v>0</v>
      </c>
      <c r="K14">
        <v>1</v>
      </c>
      <c r="L14">
        <v>0</v>
      </c>
      <c r="M14">
        <v>1</v>
      </c>
      <c r="N14">
        <v>0</v>
      </c>
      <c r="O14">
        <v>2</v>
      </c>
      <c r="P14" t="str">
        <v>일반</v>
      </c>
      <c r="Q14" t="str">
        <v>-</v>
      </c>
      <c r="R14" t="str">
        <v>분당구 금곡동161</v>
      </c>
      <c r="S14" t="str">
        <v/>
      </c>
      <c r="T14" t="str">
        <v>천사의도시1 옥된장 앞 도로(성남대로165)</v>
      </c>
      <c r="U14" t="str">
        <v/>
      </c>
    </row>
    <row r="15">
      <c r="A15" t="str">
        <v>2026</v>
      </c>
      <c r="B15">
        <v>11</v>
      </c>
      <c r="C15" t="str">
        <v>성남대로</v>
      </c>
      <c r="D15" t="str">
        <v>26-성남시-11</v>
      </c>
      <c r="E15" t="str">
        <v>양호</v>
      </c>
      <c r="F15" t="str">
        <v>횡균열</v>
      </c>
      <c r="G15" t="str">
        <v>양호</v>
      </c>
      <c r="H15">
        <v>10.3</v>
      </c>
      <c r="I15" t="str">
        <v>-</v>
      </c>
      <c r="J15">
        <v>0</v>
      </c>
      <c r="K15">
        <v>1</v>
      </c>
      <c r="L15">
        <v>0</v>
      </c>
      <c r="M15">
        <v>1</v>
      </c>
      <c r="N15">
        <v>0</v>
      </c>
      <c r="O15">
        <v>2</v>
      </c>
      <c r="P15" t="str">
        <v>일반</v>
      </c>
      <c r="Q15" t="str">
        <v>-</v>
      </c>
      <c r="R15" t="str">
        <v>분당구 금곡동161</v>
      </c>
      <c r="S15" t="str">
        <v/>
      </c>
      <c r="T15" t="str">
        <v>천사의도시1 새마을금고 앞 도로(성남대로165)</v>
      </c>
      <c r="U15" t="str">
        <v/>
      </c>
    </row>
    <row r="16">
      <c r="A16" t="str">
        <v>2026</v>
      </c>
      <c r="B16">
        <v>12</v>
      </c>
      <c r="C16" t="str">
        <v>성남대로</v>
      </c>
      <c r="D16" t="str">
        <v>26-성남시-12</v>
      </c>
      <c r="E16" t="str">
        <v>양호</v>
      </c>
      <c r="F16" t="str">
        <v>거북등</v>
      </c>
      <c r="G16" t="str">
        <v>양호</v>
      </c>
      <c r="H16">
        <v>10.3</v>
      </c>
      <c r="I16" t="str">
        <v>-</v>
      </c>
      <c r="J16">
        <v>0</v>
      </c>
      <c r="K16">
        <v>3</v>
      </c>
      <c r="L16">
        <v>0</v>
      </c>
      <c r="M16">
        <v>1</v>
      </c>
      <c r="N16">
        <v>0</v>
      </c>
      <c r="O16">
        <v>4</v>
      </c>
      <c r="P16" t="str">
        <v>일반</v>
      </c>
      <c r="Q16" t="str">
        <v>-</v>
      </c>
      <c r="R16" t="str">
        <v>미금사거리</v>
      </c>
      <c r="S16" t="str">
        <v/>
      </c>
      <c r="T16" t="str">
        <v>미금사거리</v>
      </c>
      <c r="U16" t="str">
        <v/>
      </c>
    </row>
    <row r="17">
      <c r="A17" t="str">
        <v>2026</v>
      </c>
      <c r="B17">
        <v>13</v>
      </c>
      <c r="C17" t="str">
        <v>성남대로</v>
      </c>
      <c r="D17" t="str">
        <v>26-성남시-13</v>
      </c>
      <c r="E17" t="str">
        <v>양호</v>
      </c>
      <c r="F17" t="str">
        <v>종횡균열</v>
      </c>
      <c r="G17" t="str">
        <v>양호</v>
      </c>
      <c r="H17">
        <v>10.3</v>
      </c>
      <c r="I17" t="str">
        <v>-</v>
      </c>
      <c r="J17">
        <v>0</v>
      </c>
      <c r="K17">
        <v>1</v>
      </c>
      <c r="L17">
        <v>0</v>
      </c>
      <c r="M17">
        <v>1</v>
      </c>
      <c r="N17">
        <v>0</v>
      </c>
      <c r="O17">
        <v>2</v>
      </c>
      <c r="P17" t="str">
        <v>일반</v>
      </c>
      <c r="Q17" t="str">
        <v>-</v>
      </c>
      <c r="R17" t="str">
        <v>분당구 구미동9-1</v>
      </c>
      <c r="S17" t="str">
        <v/>
      </c>
      <c r="T17" t="str">
        <v>분당엠코헤리츠 스타벅스 앞 도로(성남대로151)</v>
      </c>
      <c r="U17" t="str">
        <v/>
      </c>
    </row>
    <row r="18">
      <c r="A18" t="str">
        <v>2026</v>
      </c>
      <c r="B18">
        <v>14</v>
      </c>
      <c r="C18" t="str">
        <v>성남대로</v>
      </c>
      <c r="D18" t="str">
        <v>26-성남시-14</v>
      </c>
      <c r="E18" t="str">
        <v>양호</v>
      </c>
      <c r="F18" t="str">
        <v>종횡균열</v>
      </c>
      <c r="G18" t="str">
        <v>양호</v>
      </c>
      <c r="H18">
        <v>10.3</v>
      </c>
      <c r="I18" t="str">
        <v>-</v>
      </c>
      <c r="J18">
        <v>0</v>
      </c>
      <c r="K18">
        <v>1</v>
      </c>
      <c r="L18">
        <v>0</v>
      </c>
      <c r="M18">
        <v>1</v>
      </c>
      <c r="N18">
        <v>0</v>
      </c>
      <c r="O18">
        <v>2</v>
      </c>
      <c r="P18" t="str">
        <v>일반</v>
      </c>
      <c r="Q18" t="str">
        <v>-</v>
      </c>
      <c r="R18" t="str">
        <v>분당구 구미동9-1</v>
      </c>
      <c r="S18" t="str">
        <v/>
      </c>
      <c r="T18" t="str">
        <v>분당엠코헤리츠 나무수커피 앞 도로(성남대로151)</v>
      </c>
      <c r="U18" t="str">
        <v/>
      </c>
    </row>
    <row r="19">
      <c r="A19" t="str">
        <v>2026</v>
      </c>
      <c r="B19">
        <v>15</v>
      </c>
      <c r="C19" t="str">
        <v>성남대로</v>
      </c>
      <c r="D19" t="str">
        <v>26-성남시-15</v>
      </c>
      <c r="E19" t="str">
        <v>양호</v>
      </c>
      <c r="F19" t="str">
        <v>거북등</v>
      </c>
      <c r="G19" t="str">
        <v>양호</v>
      </c>
      <c r="H19">
        <v>10.3</v>
      </c>
      <c r="I19" t="str">
        <v>-</v>
      </c>
      <c r="J19">
        <v>0</v>
      </c>
      <c r="K19">
        <v>3</v>
      </c>
      <c r="L19">
        <v>0</v>
      </c>
      <c r="M19">
        <v>1</v>
      </c>
      <c r="N19">
        <v>0</v>
      </c>
      <c r="O19">
        <v>4</v>
      </c>
      <c r="P19" t="str">
        <v>일반</v>
      </c>
      <c r="Q19" t="str">
        <v>-</v>
      </c>
      <c r="R19" t="str">
        <v>분당구 구미동14-1</v>
      </c>
      <c r="S19" t="str">
        <v/>
      </c>
      <c r="T19" t="str">
        <v>까치마을 건영빌라 505동 앞 도로(미금일로136)</v>
      </c>
      <c r="U19" t="str">
        <v/>
      </c>
    </row>
    <row r="20">
      <c r="A20" t="str">
        <v>2026</v>
      </c>
      <c r="B20">
        <v>16</v>
      </c>
      <c r="C20" t="str">
        <v>성남대로</v>
      </c>
      <c r="D20" t="str">
        <v>26-성남시-16</v>
      </c>
      <c r="E20" t="str">
        <v>양호</v>
      </c>
      <c r="F20" t="str">
        <v>종균열</v>
      </c>
      <c r="G20" t="str">
        <v>양호</v>
      </c>
      <c r="H20">
        <v>10.3</v>
      </c>
      <c r="I20" t="str">
        <v>-</v>
      </c>
      <c r="J20">
        <v>0</v>
      </c>
      <c r="K20">
        <v>1</v>
      </c>
      <c r="L20">
        <v>0</v>
      </c>
      <c r="M20">
        <v>1</v>
      </c>
      <c r="N20">
        <v>0</v>
      </c>
      <c r="O20">
        <v>2</v>
      </c>
      <c r="P20" t="str">
        <v>일반</v>
      </c>
      <c r="Q20" t="str">
        <v>-</v>
      </c>
      <c r="R20" t="str">
        <v>분당구 구미동13</v>
      </c>
      <c r="S20" t="str">
        <v/>
      </c>
      <c r="T20" t="str">
        <v>까치마을 건영빌라 604동 앞 도로(미금일로122)</v>
      </c>
      <c r="U20" t="str">
        <v/>
      </c>
    </row>
    <row r="21">
      <c r="A21" t="str">
        <v>2026</v>
      </c>
      <c r="B21">
        <v>17</v>
      </c>
      <c r="C21" t="str">
        <v>성남대로</v>
      </c>
      <c r="D21" t="str">
        <v>26-성남시-17</v>
      </c>
      <c r="E21" t="str">
        <v>양호</v>
      </c>
      <c r="F21" t="str">
        <v>양호</v>
      </c>
      <c r="G21" t="str">
        <v>양호</v>
      </c>
      <c r="H21">
        <v>10.3</v>
      </c>
      <c r="I21" t="str">
        <v>-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 t="str">
        <v>일반</v>
      </c>
      <c r="Q21" t="str">
        <v>5cm이하 침하 (바퀴자리)</v>
      </c>
      <c r="R21" t="str">
        <v>분당구 구미동13</v>
      </c>
      <c r="S21" t="str">
        <v/>
      </c>
      <c r="T21" t="str">
        <v>까치마을 건영빌라 609동 앞 횡단보도(미금일로122)</v>
      </c>
      <c r="U21" t="str">
        <v/>
      </c>
    </row>
    <row r="22">
      <c r="A22" t="str">
        <v>2026</v>
      </c>
      <c r="B22">
        <v>18</v>
      </c>
      <c r="C22" t="str">
        <v>성남대로</v>
      </c>
      <c r="D22" t="str">
        <v>26-성남시-18</v>
      </c>
      <c r="E22" t="str">
        <v>양호</v>
      </c>
      <c r="F22" t="str">
        <v>거북등</v>
      </c>
      <c r="G22" t="str">
        <v>양호</v>
      </c>
      <c r="H22">
        <v>10.3</v>
      </c>
      <c r="I22" t="str">
        <v>-</v>
      </c>
      <c r="J22">
        <v>0</v>
      </c>
      <c r="K22">
        <v>3</v>
      </c>
      <c r="L22">
        <v>0</v>
      </c>
      <c r="M22">
        <v>1</v>
      </c>
      <c r="N22">
        <v>0</v>
      </c>
      <c r="O22">
        <v>4</v>
      </c>
      <c r="P22" t="str">
        <v>일반</v>
      </c>
      <c r="Q22" t="str">
        <v>5cm이하 침하</v>
      </c>
      <c r="R22" t="str">
        <v>분당구 구미동17</v>
      </c>
      <c r="S22" t="str">
        <v/>
      </c>
      <c r="T22" t="str">
        <v>구미도서관 앞 양차선(미금일로101)</v>
      </c>
      <c r="U22" t="str">
        <v/>
      </c>
    </row>
    <row r="23">
      <c r="A23" t="str">
        <v>2026</v>
      </c>
      <c r="B23">
        <v>19</v>
      </c>
      <c r="C23" t="str">
        <v>성남대로</v>
      </c>
      <c r="D23" t="str">
        <v>26-성남시-19</v>
      </c>
      <c r="E23" t="str">
        <v>양호</v>
      </c>
      <c r="F23" t="str">
        <v>거북등</v>
      </c>
      <c r="G23" t="str">
        <v>양호</v>
      </c>
      <c r="H23">
        <v>10.3</v>
      </c>
      <c r="I23" t="str">
        <v>-</v>
      </c>
      <c r="J23">
        <v>0</v>
      </c>
      <c r="K23">
        <v>3</v>
      </c>
      <c r="L23">
        <v>0</v>
      </c>
      <c r="M23">
        <v>1</v>
      </c>
      <c r="N23">
        <v>0</v>
      </c>
      <c r="O23">
        <v>4</v>
      </c>
      <c r="P23" t="str">
        <v>일반</v>
      </c>
      <c r="Q23" t="str">
        <v>-</v>
      </c>
      <c r="R23" t="str">
        <v>분당구 구미동148</v>
      </c>
      <c r="S23" t="str">
        <v/>
      </c>
      <c r="T23" t="str">
        <v>성지빌라 앞 양차선(금곡로7번길7)</v>
      </c>
      <c r="U23" t="str">
        <v/>
      </c>
    </row>
    <row r="24">
      <c r="A24" t="str">
        <v>2026</v>
      </c>
      <c r="B24">
        <v>20</v>
      </c>
      <c r="C24" t="str">
        <v>분당수서로</v>
      </c>
      <c r="D24" t="str">
        <v>26-성남시-20</v>
      </c>
      <c r="E24" t="str">
        <v>양호</v>
      </c>
      <c r="F24" t="str">
        <v>거북등</v>
      </c>
      <c r="G24" t="str">
        <v>양호</v>
      </c>
      <c r="H24">
        <v>10.3</v>
      </c>
      <c r="I24" t="str">
        <v>-</v>
      </c>
      <c r="J24">
        <v>0</v>
      </c>
      <c r="K24">
        <v>3</v>
      </c>
      <c r="L24">
        <v>0</v>
      </c>
      <c r="M24">
        <v>1</v>
      </c>
      <c r="N24">
        <v>0</v>
      </c>
      <c r="O24">
        <v>4</v>
      </c>
      <c r="P24" t="str">
        <v>일반</v>
      </c>
      <c r="Q24" t="str">
        <v>-</v>
      </c>
      <c r="R24" t="str">
        <v>경기고속삼거리</v>
      </c>
      <c r="S24" t="str">
        <v/>
      </c>
      <c r="T24" t="str">
        <v>경기고속삼거리(탄천상로171)</v>
      </c>
      <c r="U24" t="str">
        <v/>
      </c>
    </row>
    <row r="25">
      <c r="A25" t="str">
        <v>2026</v>
      </c>
      <c r="B25">
        <v>21</v>
      </c>
      <c r="C25" t="str">
        <v>대왕판교로</v>
      </c>
      <c r="D25" t="str">
        <v>26-성남시-21</v>
      </c>
      <c r="E25" t="str">
        <v>양호</v>
      </c>
      <c r="F25" t="str">
        <v>종횡균열</v>
      </c>
      <c r="G25" t="str">
        <v>양호</v>
      </c>
      <c r="H25">
        <v>10.3</v>
      </c>
      <c r="I25" t="str">
        <v>-</v>
      </c>
      <c r="J25">
        <v>0</v>
      </c>
      <c r="K25">
        <v>1</v>
      </c>
      <c r="L25">
        <v>0</v>
      </c>
      <c r="M25">
        <v>1</v>
      </c>
      <c r="N25">
        <v>0</v>
      </c>
      <c r="O25">
        <v>2</v>
      </c>
      <c r="P25" t="str">
        <v>일반</v>
      </c>
      <c r="Q25" t="str">
        <v>-</v>
      </c>
      <c r="R25" t="str">
        <v>분당구 구미동824-4</v>
      </c>
      <c r="S25" t="str">
        <v/>
      </c>
      <c r="T25" t="str">
        <v>강원철물건재 앞 도로(신수로787)</v>
      </c>
      <c r="U25" t="str">
        <v/>
      </c>
    </row>
    <row r="26" xml:space="preserve">
      <c r="A26" t="str">
        <v>2025</v>
      </c>
      <c r="B26">
        <v>1</v>
      </c>
      <c r="C26" t="str">
        <v>성남대로</v>
      </c>
      <c r="D26" t="str">
        <v>25-성남시-1</v>
      </c>
      <c r="E26" t="str">
        <v>양호</v>
      </c>
      <c r="F26" t="str" xml:space="preserve">
        <v xml:space="preserve">종균열_x000d_
횡균열</v>
      </c>
      <c r="G26" t="str">
        <v>건조</v>
      </c>
      <c r="H26">
        <v>9.3</v>
      </c>
      <c r="I26" t="str">
        <v>-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 t="str">
        <v>일반</v>
      </c>
      <c r="Q26" t="str">
        <v/>
      </c>
      <c r="R26" t="str">
        <v>정자동 180</v>
      </c>
      <c r="S26" t="str">
        <v/>
      </c>
      <c r="T26" t="str">
        <v>하나은행 앞 반대도로</v>
      </c>
      <c r="U26" t="str">
        <v/>
      </c>
    </row>
    <row r="27">
      <c r="A27" t="str">
        <v>2025</v>
      </c>
      <c r="B27">
        <v>2</v>
      </c>
      <c r="C27" t="str">
        <v>성남대로</v>
      </c>
      <c r="D27" t="str">
        <v>25-성남시-2</v>
      </c>
      <c r="E27" t="str">
        <v>양호</v>
      </c>
      <c r="F27" t="str">
        <v>횡균열</v>
      </c>
      <c r="G27" t="str">
        <v>건조</v>
      </c>
      <c r="H27">
        <v>9.3</v>
      </c>
      <c r="I27" t="str">
        <v>-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 t="str">
        <v>일반</v>
      </c>
      <c r="Q27" t="str">
        <v/>
      </c>
      <c r="R27" t="str">
        <v>정자동 180</v>
      </c>
      <c r="S27" t="str">
        <v/>
      </c>
      <c r="T27" t="str">
        <v>상록마을(임광/보성) 미켈란쉐르빌 앞 버스정류장</v>
      </c>
      <c r="U27" t="str">
        <v/>
      </c>
    </row>
    <row r="28">
      <c r="A28" t="str">
        <v>2025</v>
      </c>
      <c r="B28">
        <v>3</v>
      </c>
      <c r="C28" t="str">
        <v>성남대로</v>
      </c>
      <c r="D28" t="str">
        <v>25-성남시-3</v>
      </c>
      <c r="E28" t="str">
        <v>보통</v>
      </c>
      <c r="F28" t="str">
        <v>-</v>
      </c>
      <c r="G28" t="str">
        <v>건조</v>
      </c>
      <c r="H28">
        <v>9.3</v>
      </c>
      <c r="I28" t="str">
        <v>-</v>
      </c>
      <c r="J28">
        <v>3</v>
      </c>
      <c r="K28">
        <v>0</v>
      </c>
      <c r="L28">
        <v>0</v>
      </c>
      <c r="M28">
        <v>0</v>
      </c>
      <c r="N28">
        <v>0</v>
      </c>
      <c r="O28">
        <v>3</v>
      </c>
      <c r="P28" t="str">
        <v>일반</v>
      </c>
      <c r="Q28" t="str">
        <v>보도침하 8cm</v>
      </c>
      <c r="R28" t="str">
        <v>정자동 180</v>
      </c>
      <c r="S28" t="str">
        <v/>
      </c>
      <c r="T28" t="str">
        <v>미켈란쉐르빌 B동 앞 맞음편 보도</v>
      </c>
      <c r="U28" t="str">
        <v/>
      </c>
    </row>
    <row r="29">
      <c r="A29" t="str">
        <v>2025</v>
      </c>
      <c r="B29">
        <v>4</v>
      </c>
      <c r="C29" t="str">
        <v>성남대로</v>
      </c>
      <c r="D29" t="str">
        <v>25-성남시-4</v>
      </c>
      <c r="E29" t="str">
        <v>양호</v>
      </c>
      <c r="F29" t="str">
        <v>거북등</v>
      </c>
      <c r="G29" t="str">
        <v>건조</v>
      </c>
      <c r="H29">
        <v>9.3</v>
      </c>
      <c r="I29" t="str">
        <v>-</v>
      </c>
      <c r="J29">
        <v>0</v>
      </c>
      <c r="K29">
        <v>3</v>
      </c>
      <c r="L29">
        <v>0</v>
      </c>
      <c r="M29">
        <v>0</v>
      </c>
      <c r="N29">
        <v>0</v>
      </c>
      <c r="O29">
        <v>3</v>
      </c>
      <c r="P29" t="str">
        <v>일반</v>
      </c>
      <c r="Q29" t="str">
        <v/>
      </c>
      <c r="R29" t="str">
        <v>정자동 187-7</v>
      </c>
      <c r="S29" t="str">
        <v/>
      </c>
      <c r="T29" t="str">
        <v>야생화지하보도 양차선도로</v>
      </c>
      <c r="U29" t="str">
        <v/>
      </c>
    </row>
    <row r="30">
      <c r="A30" t="str">
        <v>2025</v>
      </c>
      <c r="B30">
        <v>5</v>
      </c>
      <c r="C30" t="str">
        <v>성남대로</v>
      </c>
      <c r="D30" t="str">
        <v>25-성남시-5</v>
      </c>
      <c r="E30" t="str">
        <v>양호</v>
      </c>
      <c r="F30" t="str">
        <v>거북등</v>
      </c>
      <c r="G30" t="str">
        <v>건조</v>
      </c>
      <c r="H30">
        <v>9.3</v>
      </c>
      <c r="I30" t="str">
        <v>-</v>
      </c>
      <c r="J30">
        <v>0</v>
      </c>
      <c r="K30">
        <v>3</v>
      </c>
      <c r="L30">
        <v>0</v>
      </c>
      <c r="M30">
        <v>0</v>
      </c>
      <c r="N30">
        <v>0</v>
      </c>
      <c r="O30">
        <v>3</v>
      </c>
      <c r="P30" t="str">
        <v>일반</v>
      </c>
      <c r="Q30" t="str">
        <v/>
      </c>
      <c r="R30" t="str">
        <v>정자동 187-7</v>
      </c>
      <c r="S30" t="str">
        <v/>
      </c>
      <c r="T30" t="str">
        <v>상록마을 버스정류장 앞 양차선도로</v>
      </c>
      <c r="U30" t="str">
        <v/>
      </c>
    </row>
    <row r="31">
      <c r="A31" t="str">
        <v>2025</v>
      </c>
      <c r="B31">
        <v>6</v>
      </c>
      <c r="C31" t="str">
        <v>성남대로</v>
      </c>
      <c r="D31" t="str">
        <v>25-성남시-6</v>
      </c>
      <c r="E31" t="str">
        <v>양호</v>
      </c>
      <c r="F31" t="str">
        <v>거북등</v>
      </c>
      <c r="G31" t="str">
        <v>건조</v>
      </c>
      <c r="H31">
        <v>9.3</v>
      </c>
      <c r="I31" t="str">
        <v>-</v>
      </c>
      <c r="J31">
        <v>0</v>
      </c>
      <c r="K31">
        <v>3</v>
      </c>
      <c r="L31">
        <v>0</v>
      </c>
      <c r="M31">
        <v>0</v>
      </c>
      <c r="N31">
        <v>0</v>
      </c>
      <c r="O31">
        <v>3</v>
      </c>
      <c r="P31" t="str">
        <v>일반</v>
      </c>
      <c r="Q31" t="str">
        <v/>
      </c>
      <c r="R31" t="str">
        <v>금곡사거리</v>
      </c>
      <c r="S31" t="str">
        <v/>
      </c>
      <c r="T31" t="str">
        <v>금곡사거리 도로</v>
      </c>
      <c r="U31" t="str">
        <v/>
      </c>
    </row>
    <row r="32">
      <c r="A32" t="str">
        <v>2025</v>
      </c>
      <c r="B32">
        <v>7</v>
      </c>
      <c r="C32" t="str">
        <v>성남대로</v>
      </c>
      <c r="D32" t="str">
        <v>25-성남시-7</v>
      </c>
      <c r="E32" t="str">
        <v>양호</v>
      </c>
      <c r="F32" t="str">
        <v>횡균열</v>
      </c>
      <c r="G32" t="str">
        <v>건조</v>
      </c>
      <c r="H32">
        <v>9.3</v>
      </c>
      <c r="I32" t="str">
        <v>-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 t="str">
        <v>일반</v>
      </c>
      <c r="Q32" t="str">
        <v/>
      </c>
      <c r="R32" t="str">
        <v>금곡동 127</v>
      </c>
      <c r="S32" t="str">
        <v/>
      </c>
      <c r="T32" t="str">
        <v>분당경영고등학교 앞 도로</v>
      </c>
      <c r="U32" t="str">
        <v/>
      </c>
    </row>
    <row r="33">
      <c r="A33" t="str">
        <v>2025</v>
      </c>
      <c r="B33">
        <v>8</v>
      </c>
      <c r="C33" t="str">
        <v>성남대로</v>
      </c>
      <c r="D33" t="str">
        <v>25-성남시-8</v>
      </c>
      <c r="E33" t="str">
        <v>양호</v>
      </c>
      <c r="F33" t="str">
        <v>거북등</v>
      </c>
      <c r="G33" t="str">
        <v>건조</v>
      </c>
      <c r="H33">
        <v>9.3</v>
      </c>
      <c r="I33" t="str">
        <v>-</v>
      </c>
      <c r="J33">
        <v>0</v>
      </c>
      <c r="K33">
        <v>3</v>
      </c>
      <c r="L33">
        <v>0</v>
      </c>
      <c r="M33">
        <v>0</v>
      </c>
      <c r="N33">
        <v>0</v>
      </c>
      <c r="O33">
        <v>3</v>
      </c>
      <c r="P33" t="str">
        <v>일반</v>
      </c>
      <c r="Q33" t="str">
        <v>5cm미만 침하</v>
      </c>
      <c r="R33" t="str">
        <v>금곡동 127-1</v>
      </c>
      <c r="S33" t="str">
        <v/>
      </c>
      <c r="T33" t="str">
        <v>#연결선 환기구 앞 도로</v>
      </c>
      <c r="U33" t="str">
        <v/>
      </c>
    </row>
    <row r="34">
      <c r="A34" t="str">
        <v>2025</v>
      </c>
      <c r="B34">
        <v>9</v>
      </c>
      <c r="C34" t="str">
        <v>성남대로</v>
      </c>
      <c r="D34" t="str">
        <v>25-성남시-9</v>
      </c>
      <c r="E34" t="str">
        <v>양호</v>
      </c>
      <c r="F34" t="str">
        <v>거북등</v>
      </c>
      <c r="G34" t="str">
        <v>건조</v>
      </c>
      <c r="H34">
        <v>9.3</v>
      </c>
      <c r="I34" t="str">
        <v>-</v>
      </c>
      <c r="J34">
        <v>0</v>
      </c>
      <c r="K34">
        <v>3</v>
      </c>
      <c r="L34">
        <v>0</v>
      </c>
      <c r="M34">
        <v>0</v>
      </c>
      <c r="N34">
        <v>0</v>
      </c>
      <c r="O34">
        <v>3</v>
      </c>
      <c r="P34" t="str">
        <v>일반</v>
      </c>
      <c r="Q34" t="str">
        <v/>
      </c>
      <c r="R34" t="str">
        <v>금곡동 126</v>
      </c>
      <c r="S34" t="str">
        <v/>
      </c>
      <c r="T34" t="str">
        <v>청솔주공6단지 버스정류장 앞 도로</v>
      </c>
      <c r="U34" t="str">
        <v/>
      </c>
    </row>
    <row r="35">
      <c r="A35" t="str">
        <v>2025</v>
      </c>
      <c r="B35">
        <v>10</v>
      </c>
      <c r="C35" t="str">
        <v>성남대로</v>
      </c>
      <c r="D35" t="str">
        <v>25-성남시-10</v>
      </c>
      <c r="E35" t="str">
        <v>양호</v>
      </c>
      <c r="F35" t="str">
        <v>거북등</v>
      </c>
      <c r="G35" t="str">
        <v>건조</v>
      </c>
      <c r="H35">
        <v>9.3</v>
      </c>
      <c r="I35" t="str">
        <v>-</v>
      </c>
      <c r="J35">
        <v>0</v>
      </c>
      <c r="K35">
        <v>3</v>
      </c>
      <c r="L35">
        <v>0</v>
      </c>
      <c r="M35">
        <v>0</v>
      </c>
      <c r="N35">
        <v>0</v>
      </c>
      <c r="O35">
        <v>3</v>
      </c>
      <c r="P35" t="str">
        <v>일반</v>
      </c>
      <c r="Q35" t="str">
        <v/>
      </c>
      <c r="R35" t="str">
        <v>청솔마을사거리</v>
      </c>
      <c r="S35" t="str">
        <v/>
      </c>
      <c r="T35" t="str">
        <v>청솔마을 사거리 앞 도로</v>
      </c>
      <c r="U35" t="str">
        <v/>
      </c>
    </row>
    <row r="36">
      <c r="A36" t="str">
        <v>2025</v>
      </c>
      <c r="B36">
        <v>11</v>
      </c>
      <c r="C36" t="str">
        <v>성남대로</v>
      </c>
      <c r="D36" t="str">
        <v>25-성남시-11</v>
      </c>
      <c r="E36" t="str">
        <v>양호</v>
      </c>
      <c r="F36" t="str">
        <v>거북등</v>
      </c>
      <c r="G36" t="str">
        <v>건조</v>
      </c>
      <c r="H36">
        <v>9.3</v>
      </c>
      <c r="I36" t="str">
        <v>-</v>
      </c>
      <c r="J36">
        <v>0</v>
      </c>
      <c r="K36">
        <v>3</v>
      </c>
      <c r="L36">
        <v>0</v>
      </c>
      <c r="M36">
        <v>0</v>
      </c>
      <c r="N36">
        <v>0</v>
      </c>
      <c r="O36">
        <v>3</v>
      </c>
      <c r="P36" t="str">
        <v>일반</v>
      </c>
      <c r="Q36" t="str">
        <v/>
      </c>
      <c r="R36" t="str">
        <v>금곡동 144</v>
      </c>
      <c r="S36" t="str">
        <v/>
      </c>
      <c r="T36" t="str">
        <v>청솔마을성원7단지 아파트707동 도로</v>
      </c>
      <c r="U36" t="str">
        <v/>
      </c>
    </row>
    <row r="37">
      <c r="A37" t="str">
        <v>2025</v>
      </c>
      <c r="B37">
        <v>12</v>
      </c>
      <c r="C37" t="str">
        <v>성남대로</v>
      </c>
      <c r="D37" t="str">
        <v>25-성남시-12</v>
      </c>
      <c r="E37" t="str">
        <v>양호</v>
      </c>
      <c r="F37" t="str">
        <v>횡균열</v>
      </c>
      <c r="G37" t="str">
        <v>건조</v>
      </c>
      <c r="H37">
        <v>9.3</v>
      </c>
      <c r="I37" t="str">
        <v>-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 t="str">
        <v>일반</v>
      </c>
      <c r="Q37" t="str">
        <v/>
      </c>
      <c r="R37" t="str">
        <v>금곡동 144</v>
      </c>
      <c r="S37" t="str">
        <v/>
      </c>
      <c r="T37" t="str">
        <v>청솔마을성원7단지 아파트706동 도로</v>
      </c>
      <c r="U37" t="str">
        <v/>
      </c>
    </row>
    <row r="38">
      <c r="A38" t="str">
        <v>2025</v>
      </c>
      <c r="B38">
        <v>13</v>
      </c>
      <c r="C38" t="str">
        <v>성남대로</v>
      </c>
      <c r="D38" t="str">
        <v>25-성남시-13</v>
      </c>
      <c r="E38" t="str">
        <v>양호</v>
      </c>
      <c r="F38" t="str">
        <v>거북등</v>
      </c>
      <c r="G38" t="str">
        <v>건조</v>
      </c>
      <c r="H38">
        <v>9.3</v>
      </c>
      <c r="I38" t="str">
        <v>-</v>
      </c>
      <c r="J38">
        <v>0</v>
      </c>
      <c r="K38">
        <v>3</v>
      </c>
      <c r="L38">
        <v>0</v>
      </c>
      <c r="M38">
        <v>0</v>
      </c>
      <c r="N38">
        <v>0</v>
      </c>
      <c r="O38">
        <v>3</v>
      </c>
      <c r="P38" t="str">
        <v>일반</v>
      </c>
      <c r="Q38" t="str">
        <v/>
      </c>
      <c r="R38" t="str">
        <v>금곡동 177</v>
      </c>
      <c r="S38" t="str">
        <v/>
      </c>
      <c r="T38" t="str">
        <v>청솔마을 서광영남아파트103동 앞 도로</v>
      </c>
      <c r="U38" t="str">
        <v/>
      </c>
    </row>
    <row r="39">
      <c r="A39" t="str">
        <v>2025</v>
      </c>
      <c r="B39">
        <v>14</v>
      </c>
      <c r="C39" t="str">
        <v>성남대로</v>
      </c>
      <c r="D39" t="str">
        <v>25-성남시-14</v>
      </c>
      <c r="E39" t="str">
        <v>양호</v>
      </c>
      <c r="F39" t="str">
        <v>거북등</v>
      </c>
      <c r="G39" t="str">
        <v>건조</v>
      </c>
      <c r="H39">
        <v>9.3</v>
      </c>
      <c r="I39" t="str">
        <v>-</v>
      </c>
      <c r="J39">
        <v>0</v>
      </c>
      <c r="K39">
        <v>3</v>
      </c>
      <c r="L39">
        <v>0</v>
      </c>
      <c r="M39">
        <v>0</v>
      </c>
      <c r="N39">
        <v>0</v>
      </c>
      <c r="O39">
        <v>3</v>
      </c>
      <c r="P39" t="str">
        <v>일반</v>
      </c>
      <c r="Q39" t="str">
        <v/>
      </c>
      <c r="R39" t="str">
        <v>금곡동 159</v>
      </c>
      <c r="S39" t="str">
        <v/>
      </c>
      <c r="T39" t="str">
        <v>GS25 분당성원점 앞 횡단보도</v>
      </c>
      <c r="U39" t="str">
        <v/>
      </c>
    </row>
    <row r="40">
      <c r="A40" t="str">
        <v>2025</v>
      </c>
      <c r="B40">
        <v>15</v>
      </c>
      <c r="C40" t="str">
        <v>성남대로</v>
      </c>
      <c r="D40" t="str">
        <v>25-성남시-15</v>
      </c>
      <c r="E40" t="str">
        <v>양호</v>
      </c>
      <c r="F40" t="str">
        <v>종균열</v>
      </c>
      <c r="G40" t="str">
        <v>건조</v>
      </c>
      <c r="H40">
        <v>9.3</v>
      </c>
      <c r="I40" t="str">
        <v>-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 t="str">
        <v>일반</v>
      </c>
      <c r="Q40" t="str">
        <v/>
      </c>
      <c r="R40" t="str">
        <v>금곡동 161</v>
      </c>
      <c r="S40" t="str">
        <v/>
      </c>
      <c r="T40" t="str">
        <v>옥된장 앞 도로</v>
      </c>
      <c r="U40" t="str">
        <v/>
      </c>
    </row>
    <row r="41">
      <c r="A41" t="str">
        <v>2025</v>
      </c>
      <c r="B41">
        <v>16</v>
      </c>
      <c r="C41" t="str">
        <v>성남대로</v>
      </c>
      <c r="D41" t="str">
        <v>25-성남시-16</v>
      </c>
      <c r="E41" t="str">
        <v>양호</v>
      </c>
      <c r="F41" t="str">
        <v>거북등</v>
      </c>
      <c r="G41" t="str">
        <v>건조</v>
      </c>
      <c r="H41">
        <v>9.3</v>
      </c>
      <c r="I41" t="str">
        <v>-</v>
      </c>
      <c r="J41">
        <v>0</v>
      </c>
      <c r="K41">
        <v>3</v>
      </c>
      <c r="L41">
        <v>0</v>
      </c>
      <c r="M41">
        <v>0</v>
      </c>
      <c r="N41">
        <v>0</v>
      </c>
      <c r="O41">
        <v>3</v>
      </c>
      <c r="P41" t="str">
        <v>일반</v>
      </c>
      <c r="Q41" t="str">
        <v/>
      </c>
      <c r="R41" t="str">
        <v>금곡동 158</v>
      </c>
      <c r="S41" t="str">
        <v/>
      </c>
      <c r="T41" t="str">
        <v>올리브영 앞 도로</v>
      </c>
      <c r="U41" t="str">
        <v/>
      </c>
    </row>
    <row r="42">
      <c r="A42" t="str">
        <v>2025</v>
      </c>
      <c r="B42">
        <v>17</v>
      </c>
      <c r="C42" t="str">
        <v>성남대로</v>
      </c>
      <c r="D42" t="str">
        <v>25-성남시-17</v>
      </c>
      <c r="E42" t="str">
        <v>양호</v>
      </c>
      <c r="F42" t="str">
        <v>거북등</v>
      </c>
      <c r="G42" t="str">
        <v>건조</v>
      </c>
      <c r="H42">
        <v>9.3</v>
      </c>
      <c r="I42" t="str">
        <v>-</v>
      </c>
      <c r="J42">
        <v>0</v>
      </c>
      <c r="K42">
        <v>3</v>
      </c>
      <c r="L42">
        <v>0</v>
      </c>
      <c r="M42">
        <v>0</v>
      </c>
      <c r="N42">
        <v>0</v>
      </c>
      <c r="O42">
        <v>3</v>
      </c>
      <c r="P42" t="str">
        <v>일반</v>
      </c>
      <c r="Q42" t="str">
        <v/>
      </c>
      <c r="R42" t="str">
        <v>금곡동 164</v>
      </c>
      <c r="S42" t="str">
        <v/>
      </c>
      <c r="T42" t="str">
        <v>미금역 버스정류장 앞 도로</v>
      </c>
      <c r="U42" t="str">
        <v/>
      </c>
    </row>
    <row r="43">
      <c r="A43" t="str">
        <v>2025</v>
      </c>
      <c r="B43">
        <v>18</v>
      </c>
      <c r="C43" t="str">
        <v>성남대로</v>
      </c>
      <c r="D43" t="str">
        <v>25-성남시-18</v>
      </c>
      <c r="E43" t="str">
        <v>양호</v>
      </c>
      <c r="F43" t="str">
        <v>거북등</v>
      </c>
      <c r="G43" t="str">
        <v>건조</v>
      </c>
      <c r="H43">
        <v>9.3</v>
      </c>
      <c r="I43" t="str">
        <v>-</v>
      </c>
      <c r="J43">
        <v>0</v>
      </c>
      <c r="K43">
        <v>3</v>
      </c>
      <c r="L43">
        <v>0</v>
      </c>
      <c r="M43">
        <v>0</v>
      </c>
      <c r="N43">
        <v>0</v>
      </c>
      <c r="O43">
        <v>3</v>
      </c>
      <c r="P43" t="str">
        <v>일반</v>
      </c>
      <c r="Q43" t="str">
        <v/>
      </c>
      <c r="R43" t="str">
        <v>금곡동 157</v>
      </c>
      <c r="S43" t="str">
        <v/>
      </c>
      <c r="T43" t="str">
        <v>미금역 #1번출구 앞 도로</v>
      </c>
      <c r="U43" t="str">
        <v/>
      </c>
    </row>
    <row r="44">
      <c r="A44" t="str">
        <v>2025</v>
      </c>
      <c r="B44">
        <v>19</v>
      </c>
      <c r="C44" t="str">
        <v>성남대로</v>
      </c>
      <c r="D44" t="str">
        <v>25-성남시-19</v>
      </c>
      <c r="E44" t="str">
        <v>양호</v>
      </c>
      <c r="F44" t="str">
        <v>거북등</v>
      </c>
      <c r="G44" t="str">
        <v>건조</v>
      </c>
      <c r="H44">
        <v>9.3</v>
      </c>
      <c r="I44" t="str">
        <v>-</v>
      </c>
      <c r="J44">
        <v>0</v>
      </c>
      <c r="K44">
        <v>3</v>
      </c>
      <c r="L44">
        <v>0</v>
      </c>
      <c r="M44">
        <v>0</v>
      </c>
      <c r="N44">
        <v>0</v>
      </c>
      <c r="O44">
        <v>3</v>
      </c>
      <c r="P44" t="str">
        <v>일반</v>
      </c>
      <c r="Q44" t="str">
        <v/>
      </c>
      <c r="R44" t="str">
        <v>구미동 23-1</v>
      </c>
      <c r="S44" t="str">
        <v/>
      </c>
      <c r="T44" t="str">
        <v>미금역 교차로 도로</v>
      </c>
      <c r="U44" t="str">
        <v/>
      </c>
    </row>
    <row r="45">
      <c r="A45" t="str">
        <v>2025</v>
      </c>
      <c r="B45">
        <v>20</v>
      </c>
      <c r="C45" t="str">
        <v>성남대로</v>
      </c>
      <c r="D45" t="str">
        <v>25-성남시-20</v>
      </c>
      <c r="E45" t="str">
        <v>보통</v>
      </c>
      <c r="F45" t="str">
        <v>횡균열</v>
      </c>
      <c r="G45" t="str">
        <v>건조</v>
      </c>
      <c r="H45">
        <v>9.3</v>
      </c>
      <c r="I45" t="str">
        <v>-</v>
      </c>
      <c r="J45">
        <v>3</v>
      </c>
      <c r="K45">
        <v>1</v>
      </c>
      <c r="L45">
        <v>0</v>
      </c>
      <c r="M45">
        <v>0</v>
      </c>
      <c r="N45">
        <v>0</v>
      </c>
      <c r="O45">
        <v>4</v>
      </c>
      <c r="P45" t="str">
        <v>일반</v>
      </c>
      <c r="Q45" t="str">
        <v>침하 5cm</v>
      </c>
      <c r="R45" t="str">
        <v>금곡동 157</v>
      </c>
      <c r="S45" t="str">
        <v/>
      </c>
      <c r="T45" t="str">
        <v>미금역 #2번출구 앞 도로</v>
      </c>
      <c r="U45" t="str">
        <v/>
      </c>
    </row>
    <row r="46">
      <c r="A46" t="str">
        <v>2025</v>
      </c>
      <c r="B46">
        <v>21</v>
      </c>
      <c r="C46" t="str">
        <v>성남대로</v>
      </c>
      <c r="D46" t="str">
        <v>25-성남시-21</v>
      </c>
      <c r="E46" t="str">
        <v>양호</v>
      </c>
      <c r="F46" t="str">
        <v>거북등</v>
      </c>
      <c r="G46" t="str">
        <v>건조</v>
      </c>
      <c r="H46">
        <v>9.3</v>
      </c>
      <c r="I46" t="str">
        <v>-</v>
      </c>
      <c r="J46">
        <v>0</v>
      </c>
      <c r="K46">
        <v>3</v>
      </c>
      <c r="L46">
        <v>0</v>
      </c>
      <c r="M46">
        <v>0</v>
      </c>
      <c r="N46">
        <v>0</v>
      </c>
      <c r="O46">
        <v>3</v>
      </c>
      <c r="P46" t="str">
        <v>일반</v>
      </c>
      <c r="Q46" t="str">
        <v/>
      </c>
      <c r="R46" t="str">
        <v>구미동 23-1</v>
      </c>
      <c r="S46" t="str">
        <v/>
      </c>
      <c r="T46" t="str">
        <v>미금역 교차로 도로</v>
      </c>
      <c r="U46" t="str">
        <v/>
      </c>
    </row>
    <row r="47">
      <c r="A47" t="str">
        <v>2025</v>
      </c>
      <c r="B47">
        <v>22</v>
      </c>
      <c r="C47" t="str">
        <v>성남대로</v>
      </c>
      <c r="D47" t="str">
        <v>25-성남시-22</v>
      </c>
      <c r="E47" t="str">
        <v>양호</v>
      </c>
      <c r="F47" t="str">
        <v>-</v>
      </c>
      <c r="G47" t="str">
        <v>건조</v>
      </c>
      <c r="H47">
        <v>9.3</v>
      </c>
      <c r="I47" t="str">
        <v>-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tr">
        <v>일반</v>
      </c>
      <c r="Q47" t="str">
        <v>침하 3cm</v>
      </c>
      <c r="R47" t="str">
        <v>구미동 9-1</v>
      </c>
      <c r="S47" t="str">
        <v/>
      </c>
      <c r="T47" t="str">
        <v>미금역 #5출구 앞 도로</v>
      </c>
      <c r="U47" t="str">
        <v/>
      </c>
    </row>
    <row r="48">
      <c r="A48" t="str">
        <v>2025</v>
      </c>
      <c r="B48">
        <v>23</v>
      </c>
      <c r="C48" t="str">
        <v>성남대로</v>
      </c>
      <c r="D48" t="str">
        <v>25-성남시-23</v>
      </c>
      <c r="E48" t="str">
        <v>양호</v>
      </c>
      <c r="F48" t="str">
        <v>거북등</v>
      </c>
      <c r="G48" t="str">
        <v>건조</v>
      </c>
      <c r="H48">
        <v>9.3</v>
      </c>
      <c r="I48" t="str">
        <v>-</v>
      </c>
      <c r="J48">
        <v>0</v>
      </c>
      <c r="K48">
        <v>3</v>
      </c>
      <c r="L48">
        <v>0</v>
      </c>
      <c r="M48">
        <v>0</v>
      </c>
      <c r="N48">
        <v>0</v>
      </c>
      <c r="O48">
        <v>3</v>
      </c>
      <c r="P48" t="str">
        <v>일반</v>
      </c>
      <c r="Q48" t="str">
        <v>5cm미만 침하</v>
      </c>
      <c r="R48" t="str">
        <v>구미동 23-4</v>
      </c>
      <c r="S48" t="str">
        <v/>
      </c>
      <c r="T48" t="str">
        <v>미금역 피난계단 앞 도로</v>
      </c>
      <c r="U48" t="str">
        <v/>
      </c>
    </row>
    <row r="49">
      <c r="A49" t="str">
        <v>2025</v>
      </c>
      <c r="B49">
        <v>24</v>
      </c>
      <c r="C49" t="str">
        <v>성남대로</v>
      </c>
      <c r="D49" t="str">
        <v>25-성남시-24</v>
      </c>
      <c r="E49" t="str">
        <v>양호</v>
      </c>
      <c r="F49" t="str">
        <v>거북등</v>
      </c>
      <c r="G49" t="str">
        <v>건조</v>
      </c>
      <c r="H49">
        <v>9.3</v>
      </c>
      <c r="I49" t="str">
        <v>-</v>
      </c>
      <c r="J49">
        <v>0</v>
      </c>
      <c r="K49">
        <v>3</v>
      </c>
      <c r="L49">
        <v>0</v>
      </c>
      <c r="M49">
        <v>0</v>
      </c>
      <c r="N49">
        <v>0</v>
      </c>
      <c r="O49">
        <v>3</v>
      </c>
      <c r="P49" t="str">
        <v>일반</v>
      </c>
      <c r="Q49" t="str">
        <v/>
      </c>
      <c r="R49" t="str">
        <v>구미동 9-1</v>
      </c>
      <c r="S49" t="str">
        <v/>
      </c>
      <c r="T49" t="str">
        <v>나무수커피 앞 도로</v>
      </c>
      <c r="U49" t="str">
        <v/>
      </c>
    </row>
    <row r="50">
      <c r="A50" t="str">
        <v>2025</v>
      </c>
      <c r="B50">
        <v>25</v>
      </c>
      <c r="C50" t="str">
        <v>성남대로</v>
      </c>
      <c r="D50" t="str">
        <v>25-성남시-25</v>
      </c>
      <c r="E50" t="str">
        <v>양호</v>
      </c>
      <c r="F50" t="str">
        <v>-</v>
      </c>
      <c r="G50" t="str">
        <v>건조</v>
      </c>
      <c r="H50">
        <v>9.3</v>
      </c>
      <c r="I50" t="str">
        <v>-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tr">
        <v>일반</v>
      </c>
      <c r="Q50" t="str">
        <v>침하 4cm</v>
      </c>
      <c r="R50" t="str">
        <v>구미동 23-4</v>
      </c>
      <c r="S50" t="str">
        <v/>
      </c>
      <c r="T50" t="str">
        <v>택시승강장 앞 도로</v>
      </c>
      <c r="U50" t="str">
        <v/>
      </c>
    </row>
    <row r="51">
      <c r="A51" t="str">
        <v>2025</v>
      </c>
      <c r="B51">
        <v>26</v>
      </c>
      <c r="C51" t="str">
        <v>성남대로</v>
      </c>
      <c r="D51" t="str">
        <v>25-성남시-26</v>
      </c>
      <c r="E51" t="str">
        <v>양호</v>
      </c>
      <c r="F51" t="str">
        <v>거북등</v>
      </c>
      <c r="G51" t="str">
        <v>건조</v>
      </c>
      <c r="H51">
        <v>9.3</v>
      </c>
      <c r="I51" t="str">
        <v>-</v>
      </c>
      <c r="J51">
        <v>0</v>
      </c>
      <c r="K51">
        <v>3</v>
      </c>
      <c r="L51">
        <v>0</v>
      </c>
      <c r="M51">
        <v>0</v>
      </c>
      <c r="N51">
        <v>0</v>
      </c>
      <c r="O51">
        <v>3</v>
      </c>
      <c r="P51" t="str">
        <v>일반</v>
      </c>
      <c r="Q51" t="str">
        <v>5cm미만 침하</v>
      </c>
      <c r="R51" t="str">
        <v>구미동 23-3</v>
      </c>
      <c r="S51" t="str">
        <v/>
      </c>
      <c r="T51" t="str">
        <v>성남고용복지 플러스센터 앞 도로</v>
      </c>
      <c r="U51" t="str">
        <v/>
      </c>
    </row>
    <row r="52">
      <c r="A52" t="str">
        <v>2025</v>
      </c>
      <c r="B52">
        <v>27</v>
      </c>
      <c r="C52" t="str">
        <v>성남대로</v>
      </c>
      <c r="D52" t="str">
        <v>25-성남시-27</v>
      </c>
      <c r="E52" t="str">
        <v>양호</v>
      </c>
      <c r="F52" t="str">
        <v>거북등</v>
      </c>
      <c r="G52" t="str">
        <v>건조</v>
      </c>
      <c r="H52">
        <v>9.3</v>
      </c>
      <c r="I52" t="str">
        <v>-</v>
      </c>
      <c r="J52">
        <v>0</v>
      </c>
      <c r="K52">
        <v>3</v>
      </c>
      <c r="L52">
        <v>0</v>
      </c>
      <c r="M52">
        <v>0</v>
      </c>
      <c r="N52">
        <v>0</v>
      </c>
      <c r="O52">
        <v>3</v>
      </c>
      <c r="P52" t="str">
        <v>일반</v>
      </c>
      <c r="Q52" t="str">
        <v/>
      </c>
      <c r="R52" t="str">
        <v>구미동 14-1</v>
      </c>
      <c r="S52" t="str">
        <v/>
      </c>
      <c r="T52" t="str">
        <v>까치마을 건영빌라 503동 앞 도로</v>
      </c>
      <c r="U52" t="str">
        <v/>
      </c>
    </row>
    <row r="53">
      <c r="A53" t="str">
        <v>2025</v>
      </c>
      <c r="B53">
        <v>28</v>
      </c>
      <c r="C53" t="str">
        <v>성남대로</v>
      </c>
      <c r="D53" t="str">
        <v>25-성남시-28</v>
      </c>
      <c r="E53" t="str">
        <v>양호</v>
      </c>
      <c r="F53" t="str">
        <v>거북등</v>
      </c>
      <c r="G53" t="str">
        <v>건조</v>
      </c>
      <c r="H53">
        <v>9.3</v>
      </c>
      <c r="I53" t="str">
        <v>-</v>
      </c>
      <c r="J53">
        <v>0</v>
      </c>
      <c r="K53">
        <v>3</v>
      </c>
      <c r="L53">
        <v>0</v>
      </c>
      <c r="M53">
        <v>0</v>
      </c>
      <c r="N53">
        <v>0</v>
      </c>
      <c r="O53">
        <v>3</v>
      </c>
      <c r="P53" t="str">
        <v>일반</v>
      </c>
      <c r="Q53" t="str">
        <v>5cm미만 침하</v>
      </c>
      <c r="R53" t="str">
        <v>구미동 21-1</v>
      </c>
      <c r="S53" t="str">
        <v/>
      </c>
      <c r="T53" t="str">
        <v>까치마을 건영빌라 303동 앞 도로</v>
      </c>
      <c r="U53" t="str">
        <v/>
      </c>
    </row>
    <row r="54">
      <c r="A54" t="str">
        <v>2025</v>
      </c>
      <c r="B54">
        <v>29</v>
      </c>
      <c r="C54" t="str">
        <v>성남대로</v>
      </c>
      <c r="D54" t="str">
        <v>25-성남시-29</v>
      </c>
      <c r="E54" t="str">
        <v>양호</v>
      </c>
      <c r="F54" t="str">
        <v>-</v>
      </c>
      <c r="G54" t="str">
        <v>건조</v>
      </c>
      <c r="H54">
        <v>9.3</v>
      </c>
      <c r="I54" t="str">
        <v>-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tr">
        <v>일반</v>
      </c>
      <c r="Q54" t="str">
        <v>5cm미만 침하</v>
      </c>
      <c r="R54" t="str">
        <v>구미동 21-1</v>
      </c>
      <c r="S54" t="str">
        <v/>
      </c>
      <c r="T54" t="str">
        <v>까치마을 건영빌라 302동 앞 도로</v>
      </c>
      <c r="U54" t="str">
        <v/>
      </c>
    </row>
    <row r="55">
      <c r="A55" t="str">
        <v>2025</v>
      </c>
      <c r="B55">
        <v>30</v>
      </c>
      <c r="C55" t="str">
        <v>성남대로</v>
      </c>
      <c r="D55" t="str">
        <v>25-성남시-30</v>
      </c>
      <c r="E55" t="str">
        <v>양호</v>
      </c>
      <c r="F55" t="str">
        <v>횡균열</v>
      </c>
      <c r="G55" t="str">
        <v>건조</v>
      </c>
      <c r="H55">
        <v>9.3</v>
      </c>
      <c r="I55" t="str">
        <v>-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 t="str">
        <v>일반</v>
      </c>
      <c r="Q55" t="str">
        <v/>
      </c>
      <c r="R55" t="str">
        <v>구미동 21-1</v>
      </c>
      <c r="S55" t="str">
        <v/>
      </c>
      <c r="T55" t="str">
        <v>까치마을 지하보도 도로</v>
      </c>
      <c r="U55" t="str">
        <v/>
      </c>
    </row>
    <row r="56">
      <c r="A56" t="str">
        <v>2025</v>
      </c>
      <c r="B56">
        <v>31</v>
      </c>
      <c r="C56" t="str">
        <v>성남대로</v>
      </c>
      <c r="D56" t="str">
        <v>25-성남시-31</v>
      </c>
      <c r="E56" t="str">
        <v>양호</v>
      </c>
      <c r="F56" t="str">
        <v>-</v>
      </c>
      <c r="G56" t="str">
        <v>건조</v>
      </c>
      <c r="H56">
        <v>9.3</v>
      </c>
      <c r="I56" t="str">
        <v>-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tr">
        <v>일반</v>
      </c>
      <c r="Q56" t="str">
        <v>침하 2cm</v>
      </c>
      <c r="R56" t="str">
        <v>구미동 13</v>
      </c>
      <c r="S56" t="str">
        <v/>
      </c>
      <c r="T56" t="str">
        <v>까치마을 건영빌라 603동 앞 도로</v>
      </c>
      <c r="U56" t="str">
        <v/>
      </c>
    </row>
    <row r="57">
      <c r="A57" t="str">
        <v>2025</v>
      </c>
      <c r="B57">
        <v>32</v>
      </c>
      <c r="C57" t="str">
        <v>성남대로</v>
      </c>
      <c r="D57" t="str">
        <v>25-성남시-32</v>
      </c>
      <c r="E57" t="str">
        <v>양호</v>
      </c>
      <c r="F57" t="str">
        <v>거북등</v>
      </c>
      <c r="G57" t="str">
        <v>건조</v>
      </c>
      <c r="H57">
        <v>9.3</v>
      </c>
      <c r="I57" t="str">
        <v>-</v>
      </c>
      <c r="J57">
        <v>0</v>
      </c>
      <c r="K57">
        <v>3</v>
      </c>
      <c r="L57">
        <v>0</v>
      </c>
      <c r="M57">
        <v>0</v>
      </c>
      <c r="N57">
        <v>0</v>
      </c>
      <c r="O57">
        <v>3</v>
      </c>
      <c r="P57" t="str">
        <v>일반</v>
      </c>
      <c r="Q57" t="str">
        <v/>
      </c>
      <c r="R57" t="str">
        <v>미금사거리</v>
      </c>
      <c r="S57" t="str">
        <v/>
      </c>
      <c r="T57" t="str">
        <v>미금사거리 도로</v>
      </c>
      <c r="U57" t="str">
        <v/>
      </c>
    </row>
    <row r="58">
      <c r="A58" t="str">
        <v>2025</v>
      </c>
      <c r="B58">
        <v>33</v>
      </c>
      <c r="C58" t="str">
        <v>성남대로</v>
      </c>
      <c r="D58" t="str">
        <v>25-성남시-33</v>
      </c>
      <c r="E58" t="str">
        <v>양호</v>
      </c>
      <c r="F58" t="str">
        <v>거북등</v>
      </c>
      <c r="G58" t="str">
        <v>건조</v>
      </c>
      <c r="H58">
        <v>9.3</v>
      </c>
      <c r="I58" t="str">
        <v>-</v>
      </c>
      <c r="J58">
        <v>0</v>
      </c>
      <c r="K58">
        <v>3</v>
      </c>
      <c r="L58">
        <v>0</v>
      </c>
      <c r="M58">
        <v>0</v>
      </c>
      <c r="N58">
        <v>0</v>
      </c>
      <c r="O58">
        <v>3</v>
      </c>
      <c r="P58" t="str">
        <v>일반</v>
      </c>
      <c r="Q58" t="str">
        <v/>
      </c>
      <c r="R58" t="str">
        <v>구미동 17</v>
      </c>
      <c r="S58" t="str">
        <v/>
      </c>
      <c r="T58" t="str">
        <v>성남구미도서관 앞 도로</v>
      </c>
      <c r="U58" t="str">
        <v/>
      </c>
    </row>
    <row r="59">
      <c r="A59" t="str">
        <v>2025</v>
      </c>
      <c r="B59">
        <v>34</v>
      </c>
      <c r="C59" t="str">
        <v>성남대로</v>
      </c>
      <c r="D59" t="str">
        <v>25-성남시-34</v>
      </c>
      <c r="E59" t="str">
        <v>양호</v>
      </c>
      <c r="F59" t="str">
        <v>거북등</v>
      </c>
      <c r="G59" t="str">
        <v>건조</v>
      </c>
      <c r="H59">
        <v>9.3</v>
      </c>
      <c r="I59" t="str">
        <v>-</v>
      </c>
      <c r="J59">
        <v>0</v>
      </c>
      <c r="K59">
        <v>3</v>
      </c>
      <c r="L59">
        <v>0</v>
      </c>
      <c r="M59">
        <v>0</v>
      </c>
      <c r="N59">
        <v>0</v>
      </c>
      <c r="O59">
        <v>3</v>
      </c>
      <c r="P59" t="str">
        <v>일반</v>
      </c>
      <c r="Q59" t="str">
        <v>5cm미만 침하</v>
      </c>
      <c r="R59" t="str">
        <v>구미동 149-1</v>
      </c>
      <c r="S59" t="str">
        <v/>
      </c>
      <c r="T59" t="str">
        <v>서울그린빌 1동 앞 도로</v>
      </c>
      <c r="U59" t="str">
        <v/>
      </c>
    </row>
    <row r="60">
      <c r="A60" t="str">
        <v>2025</v>
      </c>
      <c r="B60">
        <v>35</v>
      </c>
      <c r="C60" t="str">
        <v>탄천상로</v>
      </c>
      <c r="D60" t="str">
        <v>25-성남시-35</v>
      </c>
      <c r="E60" t="str">
        <v>양호</v>
      </c>
      <c r="F60" t="str">
        <v>거북등</v>
      </c>
      <c r="G60" t="str">
        <v>건조</v>
      </c>
      <c r="H60">
        <v>9.3</v>
      </c>
      <c r="I60" t="str">
        <v>-</v>
      </c>
      <c r="J60">
        <v>0</v>
      </c>
      <c r="K60">
        <v>3</v>
      </c>
      <c r="L60">
        <v>0</v>
      </c>
      <c r="M60">
        <v>0</v>
      </c>
      <c r="N60">
        <v>0</v>
      </c>
      <c r="O60">
        <v>3</v>
      </c>
      <c r="P60" t="str">
        <v>일반</v>
      </c>
      <c r="Q60" t="str">
        <v/>
      </c>
      <c r="R60" t="str">
        <v>구미동 170-2</v>
      </c>
      <c r="S60" t="str">
        <v/>
      </c>
      <c r="T60" t="str">
        <v>동막교 앞 사거리 도로</v>
      </c>
      <c r="U60" t="str">
        <v/>
      </c>
    </row>
    <row r="61">
      <c r="A61" t="str">
        <v>2025</v>
      </c>
      <c r="B61">
        <v>36</v>
      </c>
      <c r="C61" t="str">
        <v>탄천상로</v>
      </c>
      <c r="D61" t="str">
        <v>25-성남시-36</v>
      </c>
      <c r="E61" t="str">
        <v>양호</v>
      </c>
      <c r="F61" t="str">
        <v>거북등</v>
      </c>
      <c r="G61" t="str">
        <v>건조</v>
      </c>
      <c r="H61">
        <v>9.3</v>
      </c>
      <c r="I61" t="str">
        <v>-</v>
      </c>
      <c r="J61">
        <v>0</v>
      </c>
      <c r="K61">
        <v>3</v>
      </c>
      <c r="L61">
        <v>0</v>
      </c>
      <c r="M61">
        <v>0</v>
      </c>
      <c r="N61">
        <v>0</v>
      </c>
      <c r="O61">
        <v>3</v>
      </c>
      <c r="P61" t="str">
        <v>일반</v>
      </c>
      <c r="Q61" t="str">
        <v/>
      </c>
      <c r="R61" t="str">
        <v>구미동 170-1</v>
      </c>
      <c r="S61" t="str">
        <v/>
      </c>
      <c r="T61" t="str">
        <v>KD운송그룹 분당영업소 앞 도로</v>
      </c>
      <c r="U61" t="str">
        <v/>
      </c>
    </row>
    <row r="62">
      <c r="A62" t="str">
        <v>2025</v>
      </c>
      <c r="B62">
        <v>37</v>
      </c>
      <c r="C62" t="str">
        <v>분당수서로</v>
      </c>
      <c r="D62" t="str">
        <v>25-성남시-37</v>
      </c>
      <c r="E62" t="str">
        <v>양호</v>
      </c>
      <c r="F62" t="str">
        <v>거북등</v>
      </c>
      <c r="G62" t="str">
        <v>건조</v>
      </c>
      <c r="H62">
        <v>9.3</v>
      </c>
      <c r="I62" t="str">
        <v>-</v>
      </c>
      <c r="J62">
        <v>0</v>
      </c>
      <c r="K62">
        <v>3</v>
      </c>
      <c r="L62">
        <v>0</v>
      </c>
      <c r="M62">
        <v>0</v>
      </c>
      <c r="N62">
        <v>0</v>
      </c>
      <c r="O62">
        <v>3</v>
      </c>
      <c r="P62" t="str">
        <v>일반</v>
      </c>
      <c r="Q62" t="str">
        <v/>
      </c>
      <c r="R62" t="str">
        <v>경기고속삼거리</v>
      </c>
      <c r="S62" t="str">
        <v/>
      </c>
      <c r="T62" t="str">
        <v>경기고속 삼거리 도로</v>
      </c>
      <c r="U62" t="str">
        <v/>
      </c>
    </row>
    <row r="63">
      <c r="A63" t="str">
        <v>2025</v>
      </c>
      <c r="B63">
        <v>38</v>
      </c>
      <c r="C63" t="str">
        <v>신수로</v>
      </c>
      <c r="D63" t="str">
        <v>25-성남시-38</v>
      </c>
      <c r="E63" t="str">
        <v>양호</v>
      </c>
      <c r="F63" t="str">
        <v>거북등</v>
      </c>
      <c r="G63" t="str">
        <v>건조</v>
      </c>
      <c r="H63">
        <v>9.3</v>
      </c>
      <c r="I63" t="str">
        <v>-</v>
      </c>
      <c r="J63">
        <v>0</v>
      </c>
      <c r="K63">
        <v>3</v>
      </c>
      <c r="L63">
        <v>0</v>
      </c>
      <c r="M63">
        <v>0</v>
      </c>
      <c r="N63">
        <v>0</v>
      </c>
      <c r="O63">
        <v>3</v>
      </c>
      <c r="P63" t="str">
        <v>일반</v>
      </c>
      <c r="Q63" t="str">
        <v/>
      </c>
      <c r="R63" t="str">
        <v>구미동 824-4</v>
      </c>
      <c r="S63" t="str">
        <v/>
      </c>
      <c r="T63" t="str">
        <v>강원철물건재 앞 도로</v>
      </c>
      <c r="U63" t="str">
        <v/>
      </c>
    </row>
  </sheetData>
  <ignoredErrors>
    <ignoredError numberStoredAsText="1" sqref="A1:U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Data>
    <row r="2">
      <c r="A2" t="str">
        <v>○ 육안조사 결과표</v>
      </c>
    </row>
    <row r="4">
      <c r="B4" t="str">
        <v>시행사 구분</v>
      </c>
      <c r="C4" t="str">
        <v>권역구 구분</v>
      </c>
      <c r="E4" t="str">
        <v>대상시설명</v>
      </c>
      <c r="G4" t="str">
        <v>조사기간</v>
      </c>
      <c r="J4" t="str">
        <v>시설물관리자</v>
      </c>
      <c r="M4" t="str">
        <v>조사자</v>
      </c>
    </row>
    <row r="5">
      <c r="B5">
        <f>RawData!B2</f>
      </c>
      <c r="C5">
        <f>RawData!C2</f>
      </c>
      <c r="E5" t="str">
        <v>신분당선</v>
      </c>
      <c r="G5" t="str">
        <v>조사기간</v>
      </c>
      <c r="J5">
        <f>RawData!B2</f>
      </c>
      <c r="M5" t="str">
        <v>기술참여자 명단 참조</v>
      </c>
    </row>
    <row r="7">
      <c r="A7" t="str">
        <v>연도</v>
      </c>
      <c r="B7" t="str">
        <v>순번</v>
      </c>
      <c r="C7" t="str">
        <v>조사측선명</v>
      </c>
      <c r="D7" t="str">
        <v>손상구분번호</v>
      </c>
      <c r="E7" t="str">
        <v>조사결과</v>
      </c>
      <c r="J7" t="str">
        <v>평가항목별 점수</v>
      </c>
      <c r="O7" t="str">
        <v>평가점수</v>
      </c>
      <c r="P7" t="str">
        <v>평가등급</v>
      </c>
      <c r="Q7" t="str">
        <v>조사자 의견</v>
      </c>
    </row>
    <row r="8">
      <c r="E8" t="str">
        <v>침하(mm)</v>
      </c>
      <c r="F8" t="str">
        <v>균열</v>
      </c>
      <c r="G8" t="str">
        <v>습윤</v>
      </c>
      <c r="H8" t="str">
        <v>노후도(년)</v>
      </c>
      <c r="I8" t="str">
        <v>지반침하 발생 등의 이력</v>
      </c>
      <c r="J8" t="str">
        <v>침하</v>
      </c>
      <c r="K8" t="str">
        <v>균열</v>
      </c>
      <c r="L8" t="str">
        <v>습윤</v>
      </c>
      <c r="M8" t="str">
        <v>노후도</v>
      </c>
      <c r="N8" t="str">
        <v>보수보강이력</v>
      </c>
    </row>
    <row r="9">
      <c r="A9">
        <f>RawData!A5</f>
      </c>
      <c r="B9">
        <f>RIGHT(RawData!B5,2)</f>
      </c>
      <c r="C9">
        <f>RawData!C5</f>
      </c>
      <c r="D9">
        <f>RawData!D5</f>
      </c>
      <c r="E9">
        <f>RawData!E5</f>
      </c>
      <c r="F9">
        <f>RawData!F5</f>
      </c>
      <c r="G9">
        <f>RawData!G5</f>
      </c>
      <c r="H9">
        <f>RawData!H5</f>
      </c>
      <c r="I9">
        <f>RawData!I5</f>
      </c>
      <c r="J9">
        <f>IF(E9="양호",0,IF(E9="보통",3,IF(E9="불량",9,0)))</f>
      </c>
      <c r="K9">
        <f>IF(F9="거북등",3,IF(RIGHT(F9,2)="균열",1,IF(F9="-",0,0)))</f>
      </c>
      <c r="L9">
        <f>IF(G9="유출",9,IF(G9="습윤",1,IF(G9="양호",0,IF(G9="건조",0,0))))</f>
      </c>
      <c r="M9">
        <f>IF(H9&gt;=30,2,IF(H9&gt;=10,1,0))</f>
      </c>
      <c r="N9">
        <f>IF(I9="-",0,1)</f>
      </c>
      <c r="O9">
        <f>SUM(J9:N9)</f>
      </c>
      <c r="P9">
        <f>IF(O9&lt;6,"일반",IF(O9&lt;9,"우선","긴급"))</f>
      </c>
      <c r="Q9">
        <f>RawData!Q5</f>
      </c>
    </row>
    <row r="10">
      <c r="A10">
        <f>RawData!A6</f>
      </c>
      <c r="B10">
        <f>RIGHT(RawData!B6,2)</f>
      </c>
      <c r="C10">
        <f>RawData!C6</f>
      </c>
      <c r="D10">
        <f>RawData!D6</f>
      </c>
      <c r="E10">
        <f>RawData!E6</f>
      </c>
      <c r="F10">
        <f>RawData!F6</f>
      </c>
      <c r="G10">
        <f>RawData!G6</f>
      </c>
      <c r="H10">
        <f>RawData!H6</f>
      </c>
      <c r="I10">
        <f>RawData!I6</f>
      </c>
      <c r="J10">
        <f>IF(E10="양호",0,IF(E10="보통",3,IF(E10="불량",9,0)))</f>
      </c>
      <c r="K10">
        <f>IF(F10="거북등",3,IF(RIGHT(F10,2)="균열",1,IF(F10="-",0,0)))</f>
      </c>
      <c r="L10">
        <f>IF(G10="유출",9,IF(G10="습윤",1,IF(G10="양호",0,IF(G10="건조",0,0))))</f>
      </c>
      <c r="M10">
        <f>IF(H10&gt;=30,2,IF(H10&gt;=10,1,0))</f>
      </c>
      <c r="N10">
        <f>IF(I10="-",0,1)</f>
      </c>
      <c r="O10">
        <f>SUM(J10:N10)</f>
      </c>
      <c r="P10">
        <f>IF(O10&lt;6,"일반",IF(O10&lt;9,"우선","긴급"))</f>
      </c>
      <c r="Q10">
        <f>RawData!Q6</f>
      </c>
    </row>
    <row r="11">
      <c r="A11">
        <f>RawData!A7</f>
      </c>
      <c r="B11">
        <f>RIGHT(RawData!B7,2)</f>
      </c>
      <c r="C11">
        <f>RawData!C7</f>
      </c>
      <c r="D11">
        <f>RawData!D7</f>
      </c>
      <c r="E11">
        <f>RawData!E7</f>
      </c>
      <c r="F11">
        <f>RawData!F7</f>
      </c>
      <c r="G11">
        <f>RawData!G7</f>
      </c>
      <c r="H11">
        <f>RawData!H7</f>
      </c>
      <c r="I11">
        <f>RawData!I7</f>
      </c>
      <c r="J11">
        <f>IF(E11="양호",0,IF(E11="보통",3,IF(E11="불량",9,0)))</f>
      </c>
      <c r="K11">
        <f>IF(F11="거북등",3,IF(RIGHT(F11,2)="균열",1,IF(F11="-",0,0)))</f>
      </c>
      <c r="L11">
        <f>IF(G11="유출",9,IF(G11="습윤",1,IF(G11="양호",0,IF(G11="건조",0,0))))</f>
      </c>
      <c r="M11">
        <f>IF(H11&gt;=30,2,IF(H11&gt;=10,1,0))</f>
      </c>
      <c r="N11">
        <f>IF(I11="-",0,1)</f>
      </c>
      <c r="O11">
        <f>SUM(J11:N11)</f>
      </c>
      <c r="P11">
        <f>IF(O11&lt;6,"일반",IF(O11&lt;9,"우선","긴급"))</f>
      </c>
      <c r="Q11">
        <f>RawData!Q7</f>
      </c>
    </row>
    <row r="12">
      <c r="A12">
        <f>RawData!A8</f>
      </c>
      <c r="B12">
        <f>RIGHT(RawData!B8,2)</f>
      </c>
      <c r="C12">
        <f>RawData!C8</f>
      </c>
      <c r="D12">
        <f>RawData!D8</f>
      </c>
      <c r="E12">
        <f>RawData!E8</f>
      </c>
      <c r="F12">
        <f>RawData!F8</f>
      </c>
      <c r="G12">
        <f>RawData!G8</f>
      </c>
      <c r="H12">
        <f>RawData!H8</f>
      </c>
      <c r="I12">
        <f>RawData!I8</f>
      </c>
      <c r="J12">
        <f>IF(E12="양호",0,IF(E12="보통",3,IF(E12="불량",9,0)))</f>
      </c>
      <c r="K12">
        <f>IF(F12="거북등",3,IF(RIGHT(F12,2)="균열",1,IF(F12="-",0,0)))</f>
      </c>
      <c r="L12">
        <f>IF(G12="유출",9,IF(G12="습윤",1,IF(G12="양호",0,IF(G12="건조",0,0))))</f>
      </c>
      <c r="M12">
        <f>IF(H12&gt;=30,2,IF(H12&gt;=10,1,0))</f>
      </c>
      <c r="N12">
        <f>IF(I12="-",0,1)</f>
      </c>
      <c r="O12">
        <f>SUM(J12:N12)</f>
      </c>
      <c r="P12">
        <f>IF(O12&lt;6,"일반",IF(O12&lt;9,"우선","긴급"))</f>
      </c>
      <c r="Q12">
        <f>RawData!Q8</f>
      </c>
    </row>
    <row r="13">
      <c r="A13">
        <f>RawData!A9</f>
      </c>
      <c r="B13">
        <f>RIGHT(RawData!B9,2)</f>
      </c>
      <c r="C13">
        <f>RawData!C9</f>
      </c>
      <c r="D13">
        <f>RawData!D9</f>
      </c>
      <c r="E13">
        <f>RawData!E9</f>
      </c>
      <c r="F13">
        <f>RawData!F9</f>
      </c>
      <c r="G13">
        <f>RawData!G9</f>
      </c>
      <c r="H13">
        <f>RawData!H9</f>
      </c>
      <c r="I13">
        <f>RawData!I9</f>
      </c>
      <c r="J13">
        <f>IF(E13="양호",0,IF(E13="보통",3,IF(E13="불량",9,0)))</f>
      </c>
      <c r="K13">
        <f>IF(F13="거북등",3,IF(RIGHT(F13,2)="균열",1,IF(F13="-",0,0)))</f>
      </c>
      <c r="L13">
        <f>IF(G13="유출",9,IF(G13="습윤",1,IF(G13="양호",0,IF(G13="건조",0,0))))</f>
      </c>
      <c r="M13">
        <f>IF(H13&gt;=30,2,IF(H13&gt;=10,1,0))</f>
      </c>
      <c r="N13">
        <f>IF(I13="-",0,1)</f>
      </c>
      <c r="O13">
        <f>SUM(J13:N13)</f>
      </c>
      <c r="P13">
        <f>IF(O13&lt;6,"일반",IF(O13&lt;9,"우선","긴급"))</f>
      </c>
      <c r="Q13">
        <f>RawData!Q9</f>
      </c>
    </row>
    <row r="14">
      <c r="A14">
        <f>RawData!A10</f>
      </c>
      <c r="B14">
        <f>RIGHT(RawData!B10,2)</f>
      </c>
      <c r="C14">
        <f>RawData!C10</f>
      </c>
      <c r="D14">
        <f>RawData!D10</f>
      </c>
      <c r="E14">
        <f>RawData!E10</f>
      </c>
      <c r="F14">
        <f>RawData!F10</f>
      </c>
      <c r="G14">
        <f>RawData!G10</f>
      </c>
      <c r="H14">
        <f>RawData!H10</f>
      </c>
      <c r="I14">
        <f>RawData!I10</f>
      </c>
      <c r="J14">
        <f>IF(E14="양호",0,IF(E14="보통",3,IF(E14="불량",9,0)))</f>
      </c>
      <c r="K14">
        <f>IF(F14="거북등",3,IF(RIGHT(F14,2)="균열",1,IF(F14="-",0,0)))</f>
      </c>
      <c r="L14">
        <f>IF(G14="유출",9,IF(G14="습윤",1,IF(G14="양호",0,IF(G14="건조",0,0))))</f>
      </c>
      <c r="M14">
        <f>IF(H14&gt;=30,2,IF(H14&gt;=10,1,0))</f>
      </c>
      <c r="N14">
        <f>IF(I14="-",0,1)</f>
      </c>
      <c r="O14">
        <f>SUM(J14:N14)</f>
      </c>
      <c r="P14">
        <f>IF(O14&lt;6,"일반",IF(O14&lt;9,"우선","긴급"))</f>
      </c>
      <c r="Q14">
        <f>RawData!Q10</f>
      </c>
    </row>
    <row r="15">
      <c r="A15">
        <f>RawData!A11</f>
      </c>
      <c r="B15">
        <f>RIGHT(RawData!B11,2)</f>
      </c>
      <c r="C15">
        <f>RawData!C11</f>
      </c>
      <c r="D15">
        <f>RawData!D11</f>
      </c>
      <c r="E15">
        <f>RawData!E11</f>
      </c>
      <c r="F15">
        <f>RawData!F11</f>
      </c>
      <c r="G15">
        <f>RawData!G11</f>
      </c>
      <c r="H15">
        <f>RawData!H11</f>
      </c>
      <c r="I15">
        <f>RawData!I11</f>
      </c>
      <c r="J15">
        <f>IF(E15="양호",0,IF(E15="보통",3,IF(E15="불량",9,0)))</f>
      </c>
      <c r="K15">
        <f>IF(F15="거북등",3,IF(RIGHT(F15,2)="균열",1,IF(F15="-",0,0)))</f>
      </c>
      <c r="L15">
        <f>IF(G15="유출",9,IF(G15="습윤",1,IF(G15="양호",0,IF(G15="건조",0,0))))</f>
      </c>
      <c r="M15">
        <f>IF(H15&gt;=30,2,IF(H15&gt;=10,1,0))</f>
      </c>
      <c r="N15">
        <f>IF(I15="-",0,1)</f>
      </c>
      <c r="O15">
        <f>SUM(J15:N15)</f>
      </c>
      <c r="P15">
        <f>IF(O15&lt;6,"일반",IF(O15&lt;9,"우선","긴급"))</f>
      </c>
      <c r="Q15">
        <f>RawData!Q11</f>
      </c>
    </row>
    <row r="16">
      <c r="A16">
        <f>RawData!A12</f>
      </c>
      <c r="B16">
        <f>RIGHT(RawData!B12,2)</f>
      </c>
      <c r="C16">
        <f>RawData!C12</f>
      </c>
      <c r="D16">
        <f>RawData!D12</f>
      </c>
      <c r="E16">
        <f>RawData!E12</f>
      </c>
      <c r="F16">
        <f>RawData!F12</f>
      </c>
      <c r="G16">
        <f>RawData!G12</f>
      </c>
      <c r="H16">
        <f>RawData!H12</f>
      </c>
      <c r="I16">
        <f>RawData!I12</f>
      </c>
      <c r="J16">
        <f>IF(E16="양호",0,IF(E16="보통",3,IF(E16="불량",9,0)))</f>
      </c>
      <c r="K16">
        <f>IF(F16="거북등",3,IF(RIGHT(F16,2)="균열",1,IF(F16="-",0,0)))</f>
      </c>
      <c r="L16">
        <f>IF(G16="유출",9,IF(G16="습윤",1,IF(G16="양호",0,IF(G16="건조",0,0))))</f>
      </c>
      <c r="M16">
        <f>IF(H16&gt;=30,2,IF(H16&gt;=10,1,0))</f>
      </c>
      <c r="N16">
        <f>IF(I16="-",0,1)</f>
      </c>
      <c r="O16">
        <f>SUM(J16:N16)</f>
      </c>
      <c r="P16">
        <f>IF(O16&lt;6,"일반",IF(O16&lt;9,"우선","긴급"))</f>
      </c>
      <c r="Q16">
        <f>RawData!Q12</f>
      </c>
    </row>
    <row r="17">
      <c r="A17">
        <f>RawData!A13</f>
      </c>
      <c r="B17">
        <f>RIGHT(RawData!B13,2)</f>
      </c>
      <c r="C17">
        <f>RawData!C13</f>
      </c>
      <c r="D17">
        <f>RawData!D13</f>
      </c>
      <c r="E17">
        <f>RawData!E13</f>
      </c>
      <c r="F17">
        <f>RawData!F13</f>
      </c>
      <c r="G17">
        <f>RawData!G13</f>
      </c>
      <c r="H17">
        <f>RawData!H13</f>
      </c>
      <c r="I17">
        <f>RawData!I13</f>
      </c>
      <c r="J17">
        <f>IF(E17="양호",0,IF(E17="보통",3,IF(E17="불량",9,0)))</f>
      </c>
      <c r="K17">
        <f>IF(F17="거북등",3,IF(RIGHT(F17,2)="균열",1,IF(F17="-",0,0)))</f>
      </c>
      <c r="L17">
        <f>IF(G17="유출",9,IF(G17="습윤",1,IF(G17="양호",0,IF(G17="건조",0,0))))</f>
      </c>
      <c r="M17">
        <f>IF(H17&gt;=30,2,IF(H17&gt;=10,1,0))</f>
      </c>
      <c r="N17">
        <f>IF(I17="-",0,1)</f>
      </c>
      <c r="O17">
        <f>SUM(J17:N17)</f>
      </c>
      <c r="P17">
        <f>IF(O17&lt;6,"일반",IF(O17&lt;9,"우선","긴급"))</f>
      </c>
      <c r="Q17">
        <f>RawData!Q13</f>
      </c>
    </row>
    <row r="18">
      <c r="A18">
        <f>RawData!A14</f>
      </c>
      <c r="B18">
        <f>RIGHT(RawData!B14,2)</f>
      </c>
      <c r="C18">
        <f>RawData!C14</f>
      </c>
      <c r="D18">
        <f>RawData!D14</f>
      </c>
      <c r="E18">
        <f>RawData!E14</f>
      </c>
      <c r="F18">
        <f>RawData!F14</f>
      </c>
      <c r="G18">
        <f>RawData!G14</f>
      </c>
      <c r="H18">
        <f>RawData!H14</f>
      </c>
      <c r="I18">
        <f>RawData!I14</f>
      </c>
      <c r="J18">
        <f>IF(E18="양호",0,IF(E18="보통",3,IF(E18="불량",9,0)))</f>
      </c>
      <c r="K18">
        <f>IF(F18="거북등",3,IF(RIGHT(F18,2)="균열",1,IF(F18="-",0,0)))</f>
      </c>
      <c r="L18">
        <f>IF(G18="유출",9,IF(G18="습윤",1,IF(G18="양호",0,IF(G18="건조",0,0))))</f>
      </c>
      <c r="M18">
        <f>IF(H18&gt;=30,2,IF(H18&gt;=10,1,0))</f>
      </c>
      <c r="N18">
        <f>IF(I18="-",0,1)</f>
      </c>
      <c r="O18">
        <f>SUM(J18:N18)</f>
      </c>
      <c r="P18">
        <f>IF(O18&lt;6,"일반",IF(O18&lt;9,"우선","긴급"))</f>
      </c>
      <c r="Q18">
        <f>RawData!Q14</f>
      </c>
    </row>
    <row r="19">
      <c r="A19">
        <f>RawData!A15</f>
      </c>
      <c r="B19">
        <f>RIGHT(RawData!B15,2)</f>
      </c>
      <c r="C19">
        <f>RawData!C15</f>
      </c>
      <c r="D19">
        <f>RawData!D15</f>
      </c>
      <c r="E19">
        <f>RawData!E15</f>
      </c>
      <c r="F19">
        <f>RawData!F15</f>
      </c>
      <c r="G19">
        <f>RawData!G15</f>
      </c>
      <c r="H19">
        <f>RawData!H15</f>
      </c>
      <c r="I19">
        <f>RawData!I15</f>
      </c>
      <c r="J19">
        <f>IF(E19="양호",0,IF(E19="보통",3,IF(E19="불량",9,0)))</f>
      </c>
      <c r="K19">
        <f>IF(F19="거북등",3,IF(RIGHT(F19,2)="균열",1,IF(F19="-",0,0)))</f>
      </c>
      <c r="L19">
        <f>IF(G19="유출",9,IF(G19="습윤",1,IF(G19="양호",0,IF(G19="건조",0,0))))</f>
      </c>
      <c r="M19">
        <f>IF(H19&gt;=30,2,IF(H19&gt;=10,1,0))</f>
      </c>
      <c r="N19">
        <f>IF(I19="-",0,1)</f>
      </c>
      <c r="O19">
        <f>SUM(J19:N19)</f>
      </c>
      <c r="P19">
        <f>IF(O19&lt;6,"일반",IF(O19&lt;9,"우선","긴급"))</f>
      </c>
      <c r="Q19">
        <f>RawData!Q15</f>
      </c>
    </row>
    <row r="20">
      <c r="A20">
        <f>RawData!A16</f>
      </c>
      <c r="B20">
        <f>RIGHT(RawData!B16,2)</f>
      </c>
      <c r="C20">
        <f>RawData!C16</f>
      </c>
      <c r="D20">
        <f>RawData!D16</f>
      </c>
      <c r="E20">
        <f>RawData!E16</f>
      </c>
      <c r="F20">
        <f>RawData!F16</f>
      </c>
      <c r="G20">
        <f>RawData!G16</f>
      </c>
      <c r="H20">
        <f>RawData!H16</f>
      </c>
      <c r="I20">
        <f>RawData!I16</f>
      </c>
      <c r="J20">
        <f>IF(E20="양호",0,IF(E20="보통",3,IF(E20="불량",9,0)))</f>
      </c>
      <c r="K20">
        <f>IF(F20="거북등",3,IF(RIGHT(F20,2)="균열",1,IF(F20="-",0,0)))</f>
      </c>
      <c r="L20">
        <f>IF(G20="유출",9,IF(G20="습윤",1,IF(G20="양호",0,IF(G20="건조",0,0))))</f>
      </c>
      <c r="M20">
        <f>IF(H20&gt;=30,2,IF(H20&gt;=10,1,0))</f>
      </c>
      <c r="N20">
        <f>IF(I20="-",0,1)</f>
      </c>
      <c r="O20">
        <f>SUM(J20:N20)</f>
      </c>
      <c r="P20">
        <f>IF(O20&lt;6,"일반",IF(O20&lt;9,"우선","긴급"))</f>
      </c>
      <c r="Q20">
        <f>RawData!Q16</f>
      </c>
    </row>
    <row r="21">
      <c r="A21">
        <f>RawData!A17</f>
      </c>
      <c r="B21">
        <f>RIGHT(RawData!B17,2)</f>
      </c>
      <c r="C21">
        <f>RawData!C17</f>
      </c>
      <c r="D21">
        <f>RawData!D17</f>
      </c>
      <c r="E21">
        <f>RawData!E17</f>
      </c>
      <c r="F21">
        <f>RawData!F17</f>
      </c>
      <c r="G21">
        <f>RawData!G17</f>
      </c>
      <c r="H21">
        <f>RawData!H17</f>
      </c>
      <c r="I21">
        <f>RawData!I17</f>
      </c>
      <c r="J21">
        <f>IF(E21="양호",0,IF(E21="보통",3,IF(E21="불량",9,0)))</f>
      </c>
      <c r="K21">
        <f>IF(F21="거북등",3,IF(RIGHT(F21,2)="균열",1,IF(F21="-",0,0)))</f>
      </c>
      <c r="L21">
        <f>IF(G21="유출",9,IF(G21="습윤",1,IF(G21="양호",0,IF(G21="건조",0,0))))</f>
      </c>
      <c r="M21">
        <f>IF(H21&gt;=30,2,IF(H21&gt;=10,1,0))</f>
      </c>
      <c r="N21">
        <f>IF(I21="-",0,1)</f>
      </c>
      <c r="O21">
        <f>SUM(J21:N21)</f>
      </c>
      <c r="P21">
        <f>IF(O21&lt;6,"일반",IF(O21&lt;9,"우선","긴급"))</f>
      </c>
      <c r="Q21">
        <f>RawData!Q17</f>
      </c>
    </row>
    <row r="22">
      <c r="A22">
        <f>RawData!A18</f>
      </c>
      <c r="B22">
        <f>RIGHT(RawData!B18,2)</f>
      </c>
      <c r="C22">
        <f>RawData!C18</f>
      </c>
      <c r="D22">
        <f>RawData!D18</f>
      </c>
      <c r="E22">
        <f>RawData!E18</f>
      </c>
      <c r="F22">
        <f>RawData!F18</f>
      </c>
      <c r="G22">
        <f>RawData!G18</f>
      </c>
      <c r="H22">
        <f>RawData!H18</f>
      </c>
      <c r="I22">
        <f>RawData!I18</f>
      </c>
      <c r="J22">
        <f>IF(E22="양호",0,IF(E22="보통",3,IF(E22="불량",9,0)))</f>
      </c>
      <c r="K22">
        <f>IF(F22="거북등",3,IF(RIGHT(F22,2)="균열",1,IF(F22="-",0,0)))</f>
      </c>
      <c r="L22">
        <f>IF(G22="유출",9,IF(G22="습윤",1,IF(G22="양호",0,IF(G22="건조",0,0))))</f>
      </c>
      <c r="M22">
        <f>IF(H22&gt;=30,2,IF(H22&gt;=10,1,0))</f>
      </c>
      <c r="N22">
        <f>IF(I22="-",0,1)</f>
      </c>
      <c r="O22">
        <f>SUM(J22:N22)</f>
      </c>
      <c r="P22">
        <f>IF(O22&lt;6,"일반",IF(O22&lt;9,"우선","긴급"))</f>
      </c>
      <c r="Q22">
        <f>RawData!Q18</f>
      </c>
    </row>
    <row r="23">
      <c r="A23">
        <f>RawData!A19</f>
      </c>
      <c r="B23">
        <f>RIGHT(RawData!B19,2)</f>
      </c>
      <c r="C23">
        <f>RawData!C19</f>
      </c>
      <c r="D23">
        <f>RawData!D19</f>
      </c>
      <c r="E23">
        <f>RawData!E19</f>
      </c>
      <c r="F23">
        <f>RawData!F19</f>
      </c>
      <c r="G23">
        <f>RawData!G19</f>
      </c>
      <c r="H23">
        <f>RawData!H19</f>
      </c>
      <c r="I23">
        <f>RawData!I19</f>
      </c>
      <c r="J23">
        <f>IF(E23="양호",0,IF(E23="보통",3,IF(E23="불량",9,0)))</f>
      </c>
      <c r="K23">
        <f>IF(F23="거북등",3,IF(RIGHT(F23,2)="균열",1,IF(F23="-",0,0)))</f>
      </c>
      <c r="L23">
        <f>IF(G23="유출",9,IF(G23="습윤",1,IF(G23="양호",0,IF(G23="건조",0,0))))</f>
      </c>
      <c r="M23">
        <f>IF(H23&gt;=30,2,IF(H23&gt;=10,1,0))</f>
      </c>
      <c r="N23">
        <f>IF(I23="-",0,1)</f>
      </c>
      <c r="O23">
        <f>SUM(J23:N23)</f>
      </c>
      <c r="P23">
        <f>IF(O23&lt;6,"일반",IF(O23&lt;9,"우선","긴급"))</f>
      </c>
      <c r="Q23">
        <f>RawData!Q19</f>
      </c>
    </row>
    <row r="24">
      <c r="A24">
        <f>RawData!A20</f>
      </c>
      <c r="B24">
        <f>RIGHT(RawData!B20,2)</f>
      </c>
      <c r="C24">
        <f>RawData!C20</f>
      </c>
      <c r="D24">
        <f>RawData!D20</f>
      </c>
      <c r="E24">
        <f>RawData!E20</f>
      </c>
      <c r="F24">
        <f>RawData!F20</f>
      </c>
      <c r="G24">
        <f>RawData!G20</f>
      </c>
      <c r="H24">
        <f>RawData!H20</f>
      </c>
      <c r="I24">
        <f>RawData!I20</f>
      </c>
      <c r="J24">
        <f>IF(E24="양호",0,IF(E24="보통",3,IF(E24="불량",9,0)))</f>
      </c>
      <c r="K24">
        <f>IF(F24="거북등",3,IF(RIGHT(F24,2)="균열",1,IF(F24="-",0,0)))</f>
      </c>
      <c r="L24">
        <f>IF(G24="유출",9,IF(G24="습윤",1,IF(G24="양호",0,IF(G24="건조",0,0))))</f>
      </c>
      <c r="M24">
        <f>IF(H24&gt;=30,2,IF(H24&gt;=10,1,0))</f>
      </c>
      <c r="N24">
        <f>IF(I24="-",0,1)</f>
      </c>
      <c r="O24">
        <f>SUM(J24:N24)</f>
      </c>
      <c r="P24">
        <f>IF(O24&lt;6,"일반",IF(O24&lt;9,"우선","긴급"))</f>
      </c>
      <c r="Q24">
        <f>RawData!Q20</f>
      </c>
    </row>
    <row r="25">
      <c r="A25">
        <f>RawData!A21</f>
      </c>
      <c r="B25">
        <f>RIGHT(RawData!B21,2)</f>
      </c>
      <c r="C25">
        <f>RawData!C21</f>
      </c>
      <c r="D25">
        <f>RawData!D21</f>
      </c>
      <c r="E25">
        <f>RawData!E21</f>
      </c>
      <c r="F25">
        <f>RawData!F21</f>
      </c>
      <c r="G25">
        <f>RawData!G21</f>
      </c>
      <c r="H25">
        <f>RawData!H21</f>
      </c>
      <c r="I25">
        <f>RawData!I21</f>
      </c>
      <c r="J25">
        <f>IF(E25="양호",0,IF(E25="보통",3,IF(E25="불량",9,0)))</f>
      </c>
      <c r="K25">
        <f>IF(F25="거북등",3,IF(RIGHT(F25,2)="균열",1,IF(F25="-",0,0)))</f>
      </c>
      <c r="L25">
        <f>IF(G25="유출",9,IF(G25="습윤",1,IF(G25="양호",0,IF(G25="건조",0,0))))</f>
      </c>
      <c r="M25">
        <f>IF(H25&gt;=30,2,IF(H25&gt;=10,1,0))</f>
      </c>
      <c r="N25">
        <f>IF(I25="-",0,1)</f>
      </c>
      <c r="O25">
        <f>SUM(J25:N25)</f>
      </c>
      <c r="P25">
        <f>IF(O25&lt;6,"일반",IF(O25&lt;9,"우선","긴급"))</f>
      </c>
      <c r="Q25">
        <f>RawData!Q21</f>
      </c>
    </row>
    <row r="26">
      <c r="A26">
        <f>RawData!A22</f>
      </c>
      <c r="B26">
        <f>RIGHT(RawData!B22,2)</f>
      </c>
      <c r="C26">
        <f>RawData!C22</f>
      </c>
      <c r="D26">
        <f>RawData!D22</f>
      </c>
      <c r="E26">
        <f>RawData!E22</f>
      </c>
      <c r="F26">
        <f>RawData!F22</f>
      </c>
      <c r="G26">
        <f>RawData!G22</f>
      </c>
      <c r="H26">
        <f>RawData!H22</f>
      </c>
      <c r="I26">
        <f>RawData!I22</f>
      </c>
      <c r="J26">
        <f>IF(E26="양호",0,IF(E26="보통",3,IF(E26="불량",9,0)))</f>
      </c>
      <c r="K26">
        <f>IF(F26="거북등",3,IF(RIGHT(F26,2)="균열",1,IF(F26="-",0,0)))</f>
      </c>
      <c r="L26">
        <f>IF(G26="유출",9,IF(G26="습윤",1,IF(G26="양호",0,IF(G26="건조",0,0))))</f>
      </c>
      <c r="M26">
        <f>IF(H26&gt;=30,2,IF(H26&gt;=10,1,0))</f>
      </c>
      <c r="N26">
        <f>IF(I26="-",0,1)</f>
      </c>
      <c r="O26">
        <f>SUM(J26:N26)</f>
      </c>
      <c r="P26">
        <f>IF(O26&lt;6,"일반",IF(O26&lt;9,"우선","긴급"))</f>
      </c>
      <c r="Q26">
        <f>RawData!Q22</f>
      </c>
    </row>
    <row r="27">
      <c r="A27">
        <f>RawData!A23</f>
      </c>
      <c r="B27">
        <f>RIGHT(RawData!B23,2)</f>
      </c>
      <c r="C27">
        <f>RawData!C23</f>
      </c>
      <c r="D27">
        <f>RawData!D23</f>
      </c>
      <c r="E27">
        <f>RawData!E23</f>
      </c>
      <c r="F27">
        <f>RawData!F23</f>
      </c>
      <c r="G27">
        <f>RawData!G23</f>
      </c>
      <c r="H27">
        <f>RawData!H23</f>
      </c>
      <c r="I27">
        <f>RawData!I23</f>
      </c>
      <c r="J27">
        <f>IF(E27="양호",0,IF(E27="보통",3,IF(E27="불량",9,0)))</f>
      </c>
      <c r="K27">
        <f>IF(F27="거북등",3,IF(RIGHT(F27,2)="균열",1,IF(F27="-",0,0)))</f>
      </c>
      <c r="L27">
        <f>IF(G27="유출",9,IF(G27="습윤",1,IF(G27="양호",0,IF(G27="건조",0,0))))</f>
      </c>
      <c r="M27">
        <f>IF(H27&gt;=30,2,IF(H27&gt;=10,1,0))</f>
      </c>
      <c r="N27">
        <f>IF(I27="-",0,1)</f>
      </c>
      <c r="O27">
        <f>SUM(J27:N27)</f>
      </c>
      <c r="P27">
        <f>IF(O27&lt;6,"일반",IF(O27&lt;9,"우선","긴급"))</f>
      </c>
      <c r="Q27">
        <f>RawData!Q23</f>
      </c>
    </row>
    <row r="28">
      <c r="A28">
        <f>RawData!A24</f>
      </c>
      <c r="B28">
        <f>RIGHT(RawData!B24,2)</f>
      </c>
      <c r="C28">
        <f>RawData!C24</f>
      </c>
      <c r="D28">
        <f>RawData!D24</f>
      </c>
      <c r="E28">
        <f>RawData!E24</f>
      </c>
      <c r="F28">
        <f>RawData!F24</f>
      </c>
      <c r="G28">
        <f>RawData!G24</f>
      </c>
      <c r="H28">
        <f>RawData!H24</f>
      </c>
      <c r="I28">
        <f>RawData!I24</f>
      </c>
      <c r="J28">
        <f>IF(E28="양호",0,IF(E28="보통",3,IF(E28="불량",9,0)))</f>
      </c>
      <c r="K28">
        <f>IF(F28="거북등",3,IF(RIGHT(F28,2)="균열",1,IF(F28="-",0,0)))</f>
      </c>
      <c r="L28">
        <f>IF(G28="유출",9,IF(G28="습윤",1,IF(G28="양호",0,IF(G28="건조",0,0))))</f>
      </c>
      <c r="M28">
        <f>IF(H28&gt;=30,2,IF(H28&gt;=10,1,0))</f>
      </c>
      <c r="N28">
        <f>IF(I28="-",0,1)</f>
      </c>
      <c r="O28">
        <f>SUM(J28:N28)</f>
      </c>
      <c r="P28">
        <f>IF(O28&lt;6,"일반",IF(O28&lt;9,"우선","긴급"))</f>
      </c>
      <c r="Q28">
        <f>RawData!Q24</f>
      </c>
    </row>
    <row r="29">
      <c r="A29">
        <f>RawData!A25</f>
      </c>
      <c r="B29">
        <f>RIGHT(RawData!B25,2)</f>
      </c>
      <c r="C29">
        <f>RawData!C25</f>
      </c>
      <c r="D29">
        <f>RawData!D25</f>
      </c>
      <c r="E29">
        <f>RawData!E25</f>
      </c>
      <c r="F29">
        <f>RawData!F25</f>
      </c>
      <c r="G29">
        <f>RawData!G25</f>
      </c>
      <c r="H29">
        <f>RawData!H25</f>
      </c>
      <c r="I29">
        <f>RawData!I25</f>
      </c>
      <c r="J29">
        <f>IF(E29="양호",0,IF(E29="보통",3,IF(E29="불량",9,0)))</f>
      </c>
      <c r="K29">
        <f>IF(F29="거북등",3,IF(RIGHT(F29,2)="균열",1,IF(F29="-",0,0)))</f>
      </c>
      <c r="L29">
        <f>IF(G29="유출",9,IF(G29="습윤",1,IF(G29="양호",0,IF(G29="건조",0,0))))</f>
      </c>
      <c r="M29">
        <f>IF(H29&gt;=30,2,IF(H29&gt;=10,1,0))</f>
      </c>
      <c r="N29">
        <f>IF(I29="-",0,1)</f>
      </c>
      <c r="O29">
        <f>SUM(J29:N29)</f>
      </c>
      <c r="P29">
        <f>IF(O29&lt;6,"일반",IF(O29&lt;9,"우선","긴급"))</f>
      </c>
      <c r="Q29">
        <f>RawData!Q25</f>
      </c>
    </row>
    <row r="30">
      <c r="A30">
        <f>RawData!A26</f>
      </c>
      <c r="B30">
        <f>RIGHT(RawData!B26,2)</f>
      </c>
      <c r="C30">
        <f>RawData!C26</f>
      </c>
      <c r="D30">
        <f>RawData!D26</f>
      </c>
      <c r="E30">
        <f>RawData!E26</f>
      </c>
      <c r="F30">
        <f>RawData!F26</f>
      </c>
      <c r="G30">
        <f>RawData!G26</f>
      </c>
      <c r="H30">
        <f>RawData!H26</f>
      </c>
      <c r="I30">
        <f>RawData!I26</f>
      </c>
      <c r="J30">
        <f>IF(E30="양호",0,IF(E30="보통",3,IF(E30="불량",9,0)))</f>
      </c>
      <c r="K30">
        <f>IF(F30="거북등",3,IF(RIGHT(F30,2)="균열",1,IF(F30="-",0,0)))</f>
      </c>
      <c r="L30">
        <f>IF(G30="유출",9,IF(G30="습윤",1,IF(G30="양호",0,IF(G30="건조",0,0))))</f>
      </c>
      <c r="M30">
        <f>IF(H30&gt;=30,2,IF(H30&gt;=10,1,0))</f>
      </c>
      <c r="N30">
        <f>IF(I30="-",0,1)</f>
      </c>
      <c r="O30">
        <f>SUM(J30:N30)</f>
      </c>
      <c r="P30">
        <f>IF(O30&lt;6,"일반",IF(O30&lt;9,"우선","긴급"))</f>
      </c>
      <c r="Q30">
        <f>RawData!Q26</f>
      </c>
    </row>
    <row r="31">
      <c r="A31">
        <f>RawData!A27</f>
      </c>
      <c r="B31">
        <f>RIGHT(RawData!B27,2)</f>
      </c>
      <c r="C31">
        <f>RawData!C27</f>
      </c>
      <c r="D31">
        <f>RawData!D27</f>
      </c>
      <c r="E31">
        <f>RawData!E27</f>
      </c>
      <c r="F31">
        <f>RawData!F27</f>
      </c>
      <c r="G31">
        <f>RawData!G27</f>
      </c>
      <c r="H31">
        <f>RawData!H27</f>
      </c>
      <c r="I31">
        <f>RawData!I27</f>
      </c>
      <c r="J31">
        <f>IF(E31="양호",0,IF(E31="보통",3,IF(E31="불량",9,0)))</f>
      </c>
      <c r="K31">
        <f>IF(F31="거북등",3,IF(RIGHT(F31,2)="균열",1,IF(F31="-",0,0)))</f>
      </c>
      <c r="L31">
        <f>IF(G31="유출",9,IF(G31="습윤",1,IF(G31="양호",0,IF(G31="건조",0,0))))</f>
      </c>
      <c r="M31">
        <f>IF(H31&gt;=30,2,IF(H31&gt;=10,1,0))</f>
      </c>
      <c r="N31">
        <f>IF(I31="-",0,1)</f>
      </c>
      <c r="O31">
        <f>SUM(J31:N31)</f>
      </c>
      <c r="P31">
        <f>IF(O31&lt;6,"일반",IF(O31&lt;9,"우선","긴급"))</f>
      </c>
      <c r="Q31">
        <f>RawData!Q27</f>
      </c>
    </row>
    <row r="32">
      <c r="A32">
        <f>RawData!A28</f>
      </c>
      <c r="B32">
        <f>RIGHT(RawData!B28,2)</f>
      </c>
      <c r="C32">
        <f>RawData!C28</f>
      </c>
      <c r="D32">
        <f>RawData!D28</f>
      </c>
      <c r="E32">
        <f>RawData!E28</f>
      </c>
      <c r="F32">
        <f>RawData!F28</f>
      </c>
      <c r="G32">
        <f>RawData!G28</f>
      </c>
      <c r="H32">
        <f>RawData!H28</f>
      </c>
      <c r="I32">
        <f>RawData!I28</f>
      </c>
      <c r="J32">
        <f>IF(E32="양호",0,IF(E32="보통",3,IF(E32="불량",9,0)))</f>
      </c>
      <c r="K32">
        <f>IF(F32="거북등",3,IF(RIGHT(F32,2)="균열",1,IF(F32="-",0,0)))</f>
      </c>
      <c r="L32">
        <f>IF(G32="유출",9,IF(G32="습윤",1,IF(G32="양호",0,IF(G32="건조",0,0))))</f>
      </c>
      <c r="M32">
        <f>IF(H32&gt;=30,2,IF(H32&gt;=10,1,0))</f>
      </c>
      <c r="N32">
        <f>IF(I32="-",0,1)</f>
      </c>
      <c r="O32">
        <f>SUM(J32:N32)</f>
      </c>
      <c r="P32">
        <f>IF(O32&lt;6,"일반",IF(O32&lt;9,"우선","긴급"))</f>
      </c>
      <c r="Q32">
        <f>RawData!Q28</f>
      </c>
    </row>
    <row r="33">
      <c r="A33">
        <f>RawData!A29</f>
      </c>
      <c r="B33">
        <f>RIGHT(RawData!B29,2)</f>
      </c>
      <c r="C33">
        <f>RawData!C29</f>
      </c>
      <c r="D33">
        <f>RawData!D29</f>
      </c>
      <c r="E33">
        <f>RawData!E29</f>
      </c>
      <c r="F33">
        <f>RawData!F29</f>
      </c>
      <c r="G33">
        <f>RawData!G29</f>
      </c>
      <c r="H33">
        <f>RawData!H29</f>
      </c>
      <c r="I33">
        <f>RawData!I29</f>
      </c>
      <c r="J33">
        <f>IF(E33="양호",0,IF(E33="보통",3,IF(E33="불량",9,0)))</f>
      </c>
      <c r="K33">
        <f>IF(F33="거북등",3,IF(RIGHT(F33,2)="균열",1,IF(F33="-",0,0)))</f>
      </c>
      <c r="L33">
        <f>IF(G33="유출",9,IF(G33="습윤",1,IF(G33="양호",0,IF(G33="건조",0,0))))</f>
      </c>
      <c r="M33">
        <f>IF(H33&gt;=30,2,IF(H33&gt;=10,1,0))</f>
      </c>
      <c r="N33">
        <f>IF(I33="-",0,1)</f>
      </c>
      <c r="O33">
        <f>SUM(J33:N33)</f>
      </c>
      <c r="P33">
        <f>IF(O33&lt;6,"일반",IF(O33&lt;9,"우선","긴급"))</f>
      </c>
      <c r="Q33">
        <f>RawData!Q29</f>
      </c>
    </row>
    <row r="34">
      <c r="A34">
        <f>RawData!A30</f>
      </c>
      <c r="B34">
        <f>RIGHT(RawData!B30,2)</f>
      </c>
      <c r="C34">
        <f>RawData!C30</f>
      </c>
      <c r="D34">
        <f>RawData!D30</f>
      </c>
      <c r="E34">
        <f>RawData!E30</f>
      </c>
      <c r="F34">
        <f>RawData!F30</f>
      </c>
      <c r="G34">
        <f>RawData!G30</f>
      </c>
      <c r="H34">
        <f>RawData!H30</f>
      </c>
      <c r="I34">
        <f>RawData!I30</f>
      </c>
      <c r="J34">
        <f>IF(E34="양호",0,IF(E34="보통",3,IF(E34="불량",9,0)))</f>
      </c>
      <c r="K34">
        <f>IF(F34="거북등",3,IF(RIGHT(F34,2)="균열",1,IF(F34="-",0,0)))</f>
      </c>
      <c r="L34">
        <f>IF(G34="유출",9,IF(G34="습윤",1,IF(G34="양호",0,IF(G34="건조",0,0))))</f>
      </c>
      <c r="M34">
        <f>IF(H34&gt;=30,2,IF(H34&gt;=10,1,0))</f>
      </c>
      <c r="N34">
        <f>IF(I34="-",0,1)</f>
      </c>
      <c r="O34">
        <f>SUM(J34:N34)</f>
      </c>
      <c r="P34">
        <f>IF(O34&lt;6,"일반",IF(O34&lt;9,"우선","긴급"))</f>
      </c>
      <c r="Q34">
        <f>RawData!Q30</f>
      </c>
    </row>
    <row r="35">
      <c r="A35">
        <f>RawData!A31</f>
      </c>
      <c r="B35">
        <f>RIGHT(RawData!B31,2)</f>
      </c>
      <c r="C35">
        <f>RawData!C31</f>
      </c>
      <c r="D35">
        <f>RawData!D31</f>
      </c>
      <c r="E35">
        <f>RawData!E31</f>
      </c>
      <c r="F35">
        <f>RawData!F31</f>
      </c>
      <c r="G35">
        <f>RawData!G31</f>
      </c>
      <c r="H35">
        <f>RawData!H31</f>
      </c>
      <c r="I35">
        <f>RawData!I31</f>
      </c>
      <c r="J35">
        <f>IF(E35="양호",0,IF(E35="보통",3,IF(E35="불량",9,0)))</f>
      </c>
      <c r="K35">
        <f>IF(F35="거북등",3,IF(RIGHT(F35,2)="균열",1,IF(F35="-",0,0)))</f>
      </c>
      <c r="L35">
        <f>IF(G35="유출",9,IF(G35="습윤",1,IF(G35="양호",0,IF(G35="건조",0,0))))</f>
      </c>
      <c r="M35">
        <f>IF(H35&gt;=30,2,IF(H35&gt;=10,1,0))</f>
      </c>
      <c r="N35">
        <f>IF(I35="-",0,1)</f>
      </c>
      <c r="O35">
        <f>SUM(J35:N35)</f>
      </c>
      <c r="P35">
        <f>IF(O35&lt;6,"일반",IF(O35&lt;9,"우선","긴급"))</f>
      </c>
      <c r="Q35">
        <f>RawData!Q31</f>
      </c>
    </row>
    <row r="36">
      <c r="A36">
        <f>RawData!A32</f>
      </c>
      <c r="B36">
        <f>RIGHT(RawData!B32,2)</f>
      </c>
      <c r="C36">
        <f>RawData!C32</f>
      </c>
      <c r="D36">
        <f>RawData!D32</f>
      </c>
      <c r="E36">
        <f>RawData!E32</f>
      </c>
      <c r="F36">
        <f>RawData!F32</f>
      </c>
      <c r="G36">
        <f>RawData!G32</f>
      </c>
      <c r="H36">
        <f>RawData!H32</f>
      </c>
      <c r="I36">
        <f>RawData!I32</f>
      </c>
      <c r="J36">
        <f>IF(E36="양호",0,IF(E36="보통",3,IF(E36="불량",9,0)))</f>
      </c>
      <c r="K36">
        <f>IF(F36="거북등",3,IF(RIGHT(F36,2)="균열",1,IF(F36="-",0,0)))</f>
      </c>
      <c r="L36">
        <f>IF(G36="유출",9,IF(G36="습윤",1,IF(G36="양호",0,IF(G36="건조",0,0))))</f>
      </c>
      <c r="M36">
        <f>IF(H36&gt;=30,2,IF(H36&gt;=10,1,0))</f>
      </c>
      <c r="N36">
        <f>IF(I36="-",0,1)</f>
      </c>
      <c r="O36">
        <f>SUM(J36:N36)</f>
      </c>
      <c r="P36">
        <f>IF(O36&lt;6,"일반",IF(O36&lt;9,"우선","긴급"))</f>
      </c>
      <c r="Q36">
        <f>RawData!Q32</f>
      </c>
    </row>
    <row r="37">
      <c r="A37">
        <f>RawData!A33</f>
      </c>
      <c r="B37">
        <f>RIGHT(RawData!B33,2)</f>
      </c>
      <c r="C37">
        <f>RawData!C33</f>
      </c>
      <c r="D37">
        <f>RawData!D33</f>
      </c>
      <c r="E37">
        <f>RawData!E33</f>
      </c>
      <c r="F37">
        <f>RawData!F33</f>
      </c>
      <c r="G37">
        <f>RawData!G33</f>
      </c>
      <c r="H37">
        <f>RawData!H33</f>
      </c>
      <c r="I37">
        <f>RawData!I33</f>
      </c>
      <c r="J37">
        <f>IF(E37="양호",0,IF(E37="보통",3,IF(E37="불량",9,0)))</f>
      </c>
      <c r="K37">
        <f>IF(F37="거북등",3,IF(RIGHT(F37,2)="균열",1,IF(F37="-",0,0)))</f>
      </c>
      <c r="L37">
        <f>IF(G37="유출",9,IF(G37="습윤",1,IF(G37="양호",0,IF(G37="건조",0,0))))</f>
      </c>
      <c r="M37">
        <f>IF(H37&gt;=30,2,IF(H37&gt;=10,1,0))</f>
      </c>
      <c r="N37">
        <f>IF(I37="-",0,1)</f>
      </c>
      <c r="O37">
        <f>SUM(J37:N37)</f>
      </c>
      <c r="P37">
        <f>IF(O37&lt;6,"일반",IF(O37&lt;9,"우선","긴급"))</f>
      </c>
      <c r="Q37">
        <f>RawData!Q33</f>
      </c>
    </row>
    <row r="38">
      <c r="A38">
        <f>RawData!A34</f>
      </c>
      <c r="B38">
        <f>RIGHT(RawData!B34,2)</f>
      </c>
      <c r="C38">
        <f>RawData!C34</f>
      </c>
      <c r="D38">
        <f>RawData!D34</f>
      </c>
      <c r="E38">
        <f>RawData!E34</f>
      </c>
      <c r="F38">
        <f>RawData!F34</f>
      </c>
      <c r="G38">
        <f>RawData!G34</f>
      </c>
      <c r="H38">
        <f>RawData!H34</f>
      </c>
      <c r="I38">
        <f>RawData!I34</f>
      </c>
      <c r="J38">
        <f>IF(E38="양호",0,IF(E38="보통",3,IF(E38="불량",9,0)))</f>
      </c>
      <c r="K38">
        <f>IF(F38="거북등",3,IF(RIGHT(F38,2)="균열",1,IF(F38="-",0,0)))</f>
      </c>
      <c r="L38">
        <f>IF(G38="유출",9,IF(G38="습윤",1,IF(G38="양호",0,IF(G38="건조",0,0))))</f>
      </c>
      <c r="M38">
        <f>IF(H38&gt;=30,2,IF(H38&gt;=10,1,0))</f>
      </c>
      <c r="N38">
        <f>IF(I38="-",0,1)</f>
      </c>
      <c r="O38">
        <f>SUM(J38:N38)</f>
      </c>
      <c r="P38">
        <f>IF(O38&lt;6,"일반",IF(O38&lt;9,"우선","긴급"))</f>
      </c>
      <c r="Q38">
        <f>RawData!Q34</f>
      </c>
    </row>
    <row r="39">
      <c r="A39">
        <f>RawData!A35</f>
      </c>
      <c r="B39">
        <f>RIGHT(RawData!B35,2)</f>
      </c>
      <c r="C39">
        <f>RawData!C35</f>
      </c>
      <c r="D39">
        <f>RawData!D35</f>
      </c>
      <c r="E39">
        <f>RawData!E35</f>
      </c>
      <c r="F39">
        <f>RawData!F35</f>
      </c>
      <c r="G39">
        <f>RawData!G35</f>
      </c>
      <c r="H39">
        <f>RawData!H35</f>
      </c>
      <c r="I39">
        <f>RawData!I35</f>
      </c>
      <c r="J39">
        <f>IF(E39="양호",0,IF(E39="보통",3,IF(E39="불량",9,0)))</f>
      </c>
      <c r="K39">
        <f>IF(F39="거북등",3,IF(RIGHT(F39,2)="균열",1,IF(F39="-",0,0)))</f>
      </c>
      <c r="L39">
        <f>IF(G39="유출",9,IF(G39="습윤",1,IF(G39="양호",0,IF(G39="건조",0,0))))</f>
      </c>
      <c r="M39">
        <f>IF(H39&gt;=30,2,IF(H39&gt;=10,1,0))</f>
      </c>
      <c r="N39">
        <f>IF(I39="-",0,1)</f>
      </c>
      <c r="O39">
        <f>SUM(J39:N39)</f>
      </c>
      <c r="P39">
        <f>IF(O39&lt;6,"일반",IF(O39&lt;9,"우선","긴급"))</f>
      </c>
      <c r="Q39">
        <f>RawData!Q35</f>
      </c>
    </row>
    <row r="40">
      <c r="A40">
        <f>RawData!A36</f>
      </c>
      <c r="B40">
        <f>RIGHT(RawData!B36,2)</f>
      </c>
      <c r="C40">
        <f>RawData!C36</f>
      </c>
      <c r="D40">
        <f>RawData!D36</f>
      </c>
      <c r="E40">
        <f>RawData!E36</f>
      </c>
      <c r="F40">
        <f>RawData!F36</f>
      </c>
      <c r="G40">
        <f>RawData!G36</f>
      </c>
      <c r="H40">
        <f>RawData!H36</f>
      </c>
      <c r="I40">
        <f>RawData!I36</f>
      </c>
      <c r="J40">
        <f>IF(E40="양호",0,IF(E40="보통",3,IF(E40="불량",9,0)))</f>
      </c>
      <c r="K40">
        <f>IF(F40="거북등",3,IF(RIGHT(F40,2)="균열",1,IF(F40="-",0,0)))</f>
      </c>
      <c r="L40">
        <f>IF(G40="유출",9,IF(G40="습윤",1,IF(G40="양호",0,IF(G40="건조",0,0))))</f>
      </c>
      <c r="M40">
        <f>IF(H40&gt;=30,2,IF(H40&gt;=10,1,0))</f>
      </c>
      <c r="N40">
        <f>IF(I40="-",0,1)</f>
      </c>
      <c r="O40">
        <f>SUM(J40:N40)</f>
      </c>
      <c r="P40">
        <f>IF(O40&lt;6,"일반",IF(O40&lt;9,"우선","긴급"))</f>
      </c>
      <c r="Q40">
        <f>RawData!Q36</f>
      </c>
    </row>
    <row r="41">
      <c r="A41">
        <f>RawData!A37</f>
      </c>
      <c r="B41">
        <f>RIGHT(RawData!B37,2)</f>
      </c>
      <c r="C41">
        <f>RawData!C37</f>
      </c>
      <c r="D41">
        <f>RawData!D37</f>
      </c>
      <c r="E41">
        <f>RawData!E37</f>
      </c>
      <c r="F41">
        <f>RawData!F37</f>
      </c>
      <c r="G41">
        <f>RawData!G37</f>
      </c>
      <c r="H41">
        <f>RawData!H37</f>
      </c>
      <c r="I41">
        <f>RawData!I37</f>
      </c>
      <c r="J41">
        <f>IF(E41="양호",0,IF(E41="보통",3,IF(E41="불량",9,0)))</f>
      </c>
      <c r="K41">
        <f>IF(F41="거북등",3,IF(RIGHT(F41,2)="균열",1,IF(F41="-",0,0)))</f>
      </c>
      <c r="L41">
        <f>IF(G41="유출",9,IF(G41="습윤",1,IF(G41="양호",0,IF(G41="건조",0,0))))</f>
      </c>
      <c r="M41">
        <f>IF(H41&gt;=30,2,IF(H41&gt;=10,1,0))</f>
      </c>
      <c r="N41">
        <f>IF(I41="-",0,1)</f>
      </c>
      <c r="O41">
        <f>SUM(J41:N41)</f>
      </c>
      <c r="P41">
        <f>IF(O41&lt;6,"일반",IF(O41&lt;9,"우선","긴급"))</f>
      </c>
      <c r="Q41">
        <f>RawData!Q37</f>
      </c>
    </row>
    <row r="42">
      <c r="A42">
        <f>RawData!A38</f>
      </c>
      <c r="B42">
        <f>RIGHT(RawData!B38,2)</f>
      </c>
      <c r="C42">
        <f>RawData!C38</f>
      </c>
      <c r="D42">
        <f>RawData!D38</f>
      </c>
      <c r="E42">
        <f>RawData!E38</f>
      </c>
      <c r="F42">
        <f>RawData!F38</f>
      </c>
      <c r="G42">
        <f>RawData!G38</f>
      </c>
      <c r="H42">
        <f>RawData!H38</f>
      </c>
      <c r="I42">
        <f>RawData!I38</f>
      </c>
      <c r="J42">
        <f>IF(E42="양호",0,IF(E42="보통",3,IF(E42="불량",9,0)))</f>
      </c>
      <c r="K42">
        <f>IF(F42="거북등",3,IF(RIGHT(F42,2)="균열",1,IF(F42="-",0,0)))</f>
      </c>
      <c r="L42">
        <f>IF(G42="유출",9,IF(G42="습윤",1,IF(G42="양호",0,IF(G42="건조",0,0))))</f>
      </c>
      <c r="M42">
        <f>IF(H42&gt;=30,2,IF(H42&gt;=10,1,0))</f>
      </c>
      <c r="N42">
        <f>IF(I42="-",0,1)</f>
      </c>
      <c r="O42">
        <f>SUM(J42:N42)</f>
      </c>
      <c r="P42">
        <f>IF(O42&lt;6,"일반",IF(O42&lt;9,"우선","긴급"))</f>
      </c>
      <c r="Q42">
        <f>RawData!Q38</f>
      </c>
    </row>
    <row r="43">
      <c r="A43">
        <f>RawData!A39</f>
      </c>
      <c r="B43">
        <f>RIGHT(RawData!B39,2)</f>
      </c>
      <c r="C43">
        <f>RawData!C39</f>
      </c>
      <c r="D43">
        <f>RawData!D39</f>
      </c>
      <c r="E43">
        <f>RawData!E39</f>
      </c>
      <c r="F43">
        <f>RawData!F39</f>
      </c>
      <c r="G43">
        <f>RawData!G39</f>
      </c>
      <c r="H43">
        <f>RawData!H39</f>
      </c>
      <c r="I43">
        <f>RawData!I39</f>
      </c>
      <c r="J43">
        <f>IF(E43="양호",0,IF(E43="보통",3,IF(E43="불량",9,0)))</f>
      </c>
      <c r="K43">
        <f>IF(F43="거북등",3,IF(RIGHT(F43,2)="균열",1,IF(F43="-",0,0)))</f>
      </c>
      <c r="L43">
        <f>IF(G43="유출",9,IF(G43="습윤",1,IF(G43="양호",0,IF(G43="건조",0,0))))</f>
      </c>
      <c r="M43">
        <f>IF(H43&gt;=30,2,IF(H43&gt;=10,1,0))</f>
      </c>
      <c r="N43">
        <f>IF(I43="-",0,1)</f>
      </c>
      <c r="O43">
        <f>SUM(J43:N43)</f>
      </c>
      <c r="P43">
        <f>IF(O43&lt;6,"일반",IF(O43&lt;9,"우선","긴급"))</f>
      </c>
      <c r="Q43">
        <f>RawData!Q39</f>
      </c>
    </row>
    <row r="44">
      <c r="A44">
        <f>RawData!A40</f>
      </c>
      <c r="B44">
        <f>RIGHT(RawData!B40,2)</f>
      </c>
      <c r="C44">
        <f>RawData!C40</f>
      </c>
      <c r="D44">
        <f>RawData!D40</f>
      </c>
      <c r="E44">
        <f>RawData!E40</f>
      </c>
      <c r="F44">
        <f>RawData!F40</f>
      </c>
      <c r="G44">
        <f>RawData!G40</f>
      </c>
      <c r="H44">
        <f>RawData!H40</f>
      </c>
      <c r="I44">
        <f>RawData!I40</f>
      </c>
      <c r="J44">
        <f>IF(E44="양호",0,IF(E44="보통",3,IF(E44="불량",9,0)))</f>
      </c>
      <c r="K44">
        <f>IF(F44="거북등",3,IF(RIGHT(F44,2)="균열",1,IF(F44="-",0,0)))</f>
      </c>
      <c r="L44">
        <f>IF(G44="유출",9,IF(G44="습윤",1,IF(G44="양호",0,IF(G44="건조",0,0))))</f>
      </c>
      <c r="M44">
        <f>IF(H44&gt;=30,2,IF(H44&gt;=10,1,0))</f>
      </c>
      <c r="N44">
        <f>IF(I44="-",0,1)</f>
      </c>
      <c r="O44">
        <f>SUM(J44:N44)</f>
      </c>
      <c r="P44">
        <f>IF(O44&lt;6,"일반",IF(O44&lt;9,"우선","긴급"))</f>
      </c>
      <c r="Q44">
        <f>RawData!Q40</f>
      </c>
    </row>
    <row r="45">
      <c r="A45">
        <f>RawData!A41</f>
      </c>
      <c r="B45">
        <f>RIGHT(RawData!B41,2)</f>
      </c>
      <c r="C45">
        <f>RawData!C41</f>
      </c>
      <c r="D45">
        <f>RawData!D41</f>
      </c>
      <c r="E45">
        <f>RawData!E41</f>
      </c>
      <c r="F45">
        <f>RawData!F41</f>
      </c>
      <c r="G45">
        <f>RawData!G41</f>
      </c>
      <c r="H45">
        <f>RawData!H41</f>
      </c>
      <c r="I45">
        <f>RawData!I41</f>
      </c>
      <c r="J45">
        <f>IF(E45="양호",0,IF(E45="보통",3,IF(E45="불량",9,0)))</f>
      </c>
      <c r="K45">
        <f>IF(F45="거북등",3,IF(RIGHT(F45,2)="균열",1,IF(F45="-",0,0)))</f>
      </c>
      <c r="L45">
        <f>IF(G45="유출",9,IF(G45="습윤",1,IF(G45="양호",0,IF(G45="건조",0,0))))</f>
      </c>
      <c r="M45">
        <f>IF(H45&gt;=30,2,IF(H45&gt;=10,1,0))</f>
      </c>
      <c r="N45">
        <f>IF(I45="-",0,1)</f>
      </c>
      <c r="O45">
        <f>SUM(J45:N45)</f>
      </c>
      <c r="P45">
        <f>IF(O45&lt;6,"일반",IF(O45&lt;9,"우선","긴급"))</f>
      </c>
      <c r="Q45">
        <f>RawData!Q41</f>
      </c>
    </row>
    <row r="46">
      <c r="A46">
        <f>RawData!A42</f>
      </c>
      <c r="B46">
        <f>RIGHT(RawData!B42,2)</f>
      </c>
      <c r="C46">
        <f>RawData!C42</f>
      </c>
      <c r="D46">
        <f>RawData!D42</f>
      </c>
      <c r="E46">
        <f>RawData!E42</f>
      </c>
      <c r="F46">
        <f>RawData!F42</f>
      </c>
      <c r="G46">
        <f>RawData!G42</f>
      </c>
      <c r="H46">
        <f>RawData!H42</f>
      </c>
      <c r="I46">
        <f>RawData!I42</f>
      </c>
      <c r="J46">
        <f>IF(E46="양호",0,IF(E46="보통",3,IF(E46="불량",9,0)))</f>
      </c>
      <c r="K46">
        <f>IF(F46="거북등",3,IF(RIGHT(F46,2)="균열",1,IF(F46="-",0,0)))</f>
      </c>
      <c r="L46">
        <f>IF(G46="유출",9,IF(G46="습윤",1,IF(G46="양호",0,IF(G46="건조",0,0))))</f>
      </c>
      <c r="M46">
        <f>IF(H46&gt;=30,2,IF(H46&gt;=10,1,0))</f>
      </c>
      <c r="N46">
        <f>IF(I46="-",0,1)</f>
      </c>
      <c r="O46">
        <f>SUM(J46:N46)</f>
      </c>
      <c r="P46">
        <f>IF(O46&lt;6,"일반",IF(O46&lt;9,"우선","긴급"))</f>
      </c>
      <c r="Q46">
        <f>RawData!Q42</f>
      </c>
    </row>
    <row r="47">
      <c r="A47">
        <f>RawData!A43</f>
      </c>
      <c r="B47">
        <f>RIGHT(RawData!B43,2)</f>
      </c>
      <c r="C47">
        <f>RawData!C43</f>
      </c>
      <c r="D47">
        <f>RawData!D43</f>
      </c>
      <c r="E47">
        <f>RawData!E43</f>
      </c>
      <c r="F47">
        <f>RawData!F43</f>
      </c>
      <c r="G47">
        <f>RawData!G43</f>
      </c>
      <c r="H47">
        <f>RawData!H43</f>
      </c>
      <c r="I47">
        <f>RawData!I43</f>
      </c>
      <c r="J47">
        <f>IF(E47="양호",0,IF(E47="보통",3,IF(E47="불량",9,0)))</f>
      </c>
      <c r="K47">
        <f>IF(F47="거북등",3,IF(RIGHT(F47,2)="균열",1,IF(F47="-",0,0)))</f>
      </c>
      <c r="L47">
        <f>IF(G47="유출",9,IF(G47="습윤",1,IF(G47="양호",0,IF(G47="건조",0,0))))</f>
      </c>
      <c r="M47">
        <f>IF(H47&gt;=30,2,IF(H47&gt;=10,1,0))</f>
      </c>
      <c r="N47">
        <f>IF(I47="-",0,1)</f>
      </c>
      <c r="O47">
        <f>SUM(J47:N47)</f>
      </c>
      <c r="P47">
        <f>IF(O47&lt;6,"일반",IF(O47&lt;9,"우선","긴급"))</f>
      </c>
      <c r="Q47">
        <f>RawData!Q43</f>
      </c>
    </row>
    <row r="48">
      <c r="A48">
        <f>RawData!A44</f>
      </c>
      <c r="B48">
        <f>RIGHT(RawData!B44,2)</f>
      </c>
      <c r="C48">
        <f>RawData!C44</f>
      </c>
      <c r="D48">
        <f>RawData!D44</f>
      </c>
      <c r="E48">
        <f>RawData!E44</f>
      </c>
      <c r="F48">
        <f>RawData!F44</f>
      </c>
      <c r="G48">
        <f>RawData!G44</f>
      </c>
      <c r="H48">
        <f>RawData!H44</f>
      </c>
      <c r="I48">
        <f>RawData!I44</f>
      </c>
      <c r="J48">
        <f>IF(E48="양호",0,IF(E48="보통",3,IF(E48="불량",9,0)))</f>
      </c>
      <c r="K48">
        <f>IF(F48="거북등",3,IF(RIGHT(F48,2)="균열",1,IF(F48="-",0,0)))</f>
      </c>
      <c r="L48">
        <f>IF(G48="유출",9,IF(G48="습윤",1,IF(G48="양호",0,IF(G48="건조",0,0))))</f>
      </c>
      <c r="M48">
        <f>IF(H48&gt;=30,2,IF(H48&gt;=10,1,0))</f>
      </c>
      <c r="N48">
        <f>IF(I48="-",0,1)</f>
      </c>
      <c r="O48">
        <f>SUM(J48:N48)</f>
      </c>
      <c r="P48">
        <f>IF(O48&lt;6,"일반",IF(O48&lt;9,"우선","긴급"))</f>
      </c>
      <c r="Q48">
        <f>RawData!Q44</f>
      </c>
    </row>
    <row r="49">
      <c r="A49">
        <f>RawData!A45</f>
      </c>
      <c r="B49">
        <f>RIGHT(RawData!B45,2)</f>
      </c>
      <c r="C49">
        <f>RawData!C45</f>
      </c>
      <c r="D49">
        <f>RawData!D45</f>
      </c>
      <c r="E49">
        <f>RawData!E45</f>
      </c>
      <c r="F49">
        <f>RawData!F45</f>
      </c>
      <c r="G49">
        <f>RawData!G45</f>
      </c>
      <c r="H49">
        <f>RawData!H45</f>
      </c>
      <c r="I49">
        <f>RawData!I45</f>
      </c>
      <c r="J49">
        <f>IF(E49="양호",0,IF(E49="보통",3,IF(E49="불량",9,0)))</f>
      </c>
      <c r="K49">
        <f>IF(F49="거북등",3,IF(RIGHT(F49,2)="균열",1,IF(F49="-",0,0)))</f>
      </c>
      <c r="L49">
        <f>IF(G49="유출",9,IF(G49="습윤",1,IF(G49="양호",0,IF(G49="건조",0,0))))</f>
      </c>
      <c r="M49">
        <f>IF(H49&gt;=30,2,IF(H49&gt;=10,1,0))</f>
      </c>
      <c r="N49">
        <f>IF(I49="-",0,1)</f>
      </c>
      <c r="O49">
        <f>SUM(J49:N49)</f>
      </c>
      <c r="P49">
        <f>IF(O49&lt;6,"일반",IF(O49&lt;9,"우선","긴급"))</f>
      </c>
      <c r="Q49">
        <f>RawData!Q45</f>
      </c>
    </row>
    <row r="50">
      <c r="A50">
        <f>RawData!A46</f>
      </c>
      <c r="B50">
        <f>RIGHT(RawData!B46,2)</f>
      </c>
      <c r="C50">
        <f>RawData!C46</f>
      </c>
      <c r="D50">
        <f>RawData!D46</f>
      </c>
      <c r="E50">
        <f>RawData!E46</f>
      </c>
      <c r="F50">
        <f>RawData!F46</f>
      </c>
      <c r="G50">
        <f>RawData!G46</f>
      </c>
      <c r="H50">
        <f>RawData!H46</f>
      </c>
      <c r="I50">
        <f>RawData!I46</f>
      </c>
      <c r="J50">
        <f>IF(E50="양호",0,IF(E50="보통",3,IF(E50="불량",9,0)))</f>
      </c>
      <c r="K50">
        <f>IF(F50="거북등",3,IF(RIGHT(F50,2)="균열",1,IF(F50="-",0,0)))</f>
      </c>
      <c r="L50">
        <f>IF(G50="유출",9,IF(G50="습윤",1,IF(G50="양호",0,IF(G50="건조",0,0))))</f>
      </c>
      <c r="M50">
        <f>IF(H50&gt;=30,2,IF(H50&gt;=10,1,0))</f>
      </c>
      <c r="N50">
        <f>IF(I50="-",0,1)</f>
      </c>
      <c r="O50">
        <f>SUM(J50:N50)</f>
      </c>
      <c r="P50">
        <f>IF(O50&lt;6,"일반",IF(O50&lt;9,"우선","긴급"))</f>
      </c>
      <c r="Q50">
        <f>RawData!Q46</f>
      </c>
    </row>
    <row r="51">
      <c r="A51">
        <f>RawData!A47</f>
      </c>
      <c r="B51">
        <f>RIGHT(RawData!B47,2)</f>
      </c>
      <c r="C51">
        <f>RawData!C47</f>
      </c>
      <c r="D51">
        <f>RawData!D47</f>
      </c>
      <c r="E51">
        <f>RawData!E47</f>
      </c>
      <c r="F51">
        <f>RawData!F47</f>
      </c>
      <c r="G51">
        <f>RawData!G47</f>
      </c>
      <c r="H51">
        <f>RawData!H47</f>
      </c>
      <c r="I51">
        <f>RawData!I47</f>
      </c>
      <c r="J51">
        <f>IF(E51="양호",0,IF(E51="보통",3,IF(E51="불량",9,0)))</f>
      </c>
      <c r="K51">
        <f>IF(F51="거북등",3,IF(RIGHT(F51,2)="균열",1,IF(F51="-",0,0)))</f>
      </c>
      <c r="L51">
        <f>IF(G51="유출",9,IF(G51="습윤",1,IF(G51="양호",0,IF(G51="건조",0,0))))</f>
      </c>
      <c r="M51">
        <f>IF(H51&gt;=30,2,IF(H51&gt;=10,1,0))</f>
      </c>
      <c r="N51">
        <f>IF(I51="-",0,1)</f>
      </c>
      <c r="O51">
        <f>SUM(J51:N51)</f>
      </c>
      <c r="P51">
        <f>IF(O51&lt;6,"일반",IF(O51&lt;9,"우선","긴급"))</f>
      </c>
      <c r="Q51">
        <f>RawData!Q47</f>
      </c>
    </row>
    <row r="52">
      <c r="A52">
        <f>RawData!A48</f>
      </c>
      <c r="B52">
        <f>RIGHT(RawData!B48,2)</f>
      </c>
      <c r="C52">
        <f>RawData!C48</f>
      </c>
      <c r="D52">
        <f>RawData!D48</f>
      </c>
      <c r="E52">
        <f>RawData!E48</f>
      </c>
      <c r="F52">
        <f>RawData!F48</f>
      </c>
      <c r="G52">
        <f>RawData!G48</f>
      </c>
      <c r="H52">
        <f>RawData!H48</f>
      </c>
      <c r="I52">
        <f>RawData!I48</f>
      </c>
      <c r="J52">
        <f>IF(E52="양호",0,IF(E52="보통",3,IF(E52="불량",9,0)))</f>
      </c>
      <c r="K52">
        <f>IF(F52="거북등",3,IF(RIGHT(F52,2)="균열",1,IF(F52="-",0,0)))</f>
      </c>
      <c r="L52">
        <f>IF(G52="유출",9,IF(G52="습윤",1,IF(G52="양호",0,IF(G52="건조",0,0))))</f>
      </c>
      <c r="M52">
        <f>IF(H52&gt;=30,2,IF(H52&gt;=10,1,0))</f>
      </c>
      <c r="N52">
        <f>IF(I52="-",0,1)</f>
      </c>
      <c r="O52">
        <f>SUM(J52:N52)</f>
      </c>
      <c r="P52">
        <f>IF(O52&lt;6,"일반",IF(O52&lt;9,"우선","긴급"))</f>
      </c>
      <c r="Q52">
        <f>RawData!Q48</f>
      </c>
    </row>
    <row r="53">
      <c r="A53">
        <f>RawData!A49</f>
      </c>
      <c r="B53">
        <f>RIGHT(RawData!B49,2)</f>
      </c>
      <c r="C53">
        <f>RawData!C49</f>
      </c>
      <c r="D53">
        <f>RawData!D49</f>
      </c>
      <c r="E53">
        <f>RawData!E49</f>
      </c>
      <c r="F53">
        <f>RawData!F49</f>
      </c>
      <c r="G53">
        <f>RawData!G49</f>
      </c>
      <c r="H53">
        <f>RawData!H49</f>
      </c>
      <c r="I53">
        <f>RawData!I49</f>
      </c>
      <c r="J53">
        <f>IF(E53="양호",0,IF(E53="보통",3,IF(E53="불량",9,0)))</f>
      </c>
      <c r="K53">
        <f>IF(F53="거북등",3,IF(RIGHT(F53,2)="균열",1,IF(F53="-",0,0)))</f>
      </c>
      <c r="L53">
        <f>IF(G53="유출",9,IF(G53="습윤",1,IF(G53="양호",0,IF(G53="건조",0,0))))</f>
      </c>
      <c r="M53">
        <f>IF(H53&gt;=30,2,IF(H53&gt;=10,1,0))</f>
      </c>
      <c r="N53">
        <f>IF(I53="-",0,1)</f>
      </c>
      <c r="O53">
        <f>SUM(J53:N53)</f>
      </c>
      <c r="P53">
        <f>IF(O53&lt;6,"일반",IF(O53&lt;9,"우선","긴급"))</f>
      </c>
      <c r="Q53">
        <f>RawData!Q49</f>
      </c>
    </row>
    <row r="54">
      <c r="A54">
        <f>RawData!A50</f>
      </c>
      <c r="B54">
        <f>RIGHT(RawData!B50,2)</f>
      </c>
      <c r="C54">
        <f>RawData!C50</f>
      </c>
      <c r="D54">
        <f>RawData!D50</f>
      </c>
      <c r="E54">
        <f>RawData!E50</f>
      </c>
      <c r="F54">
        <f>RawData!F50</f>
      </c>
      <c r="G54">
        <f>RawData!G50</f>
      </c>
      <c r="H54">
        <f>RawData!H50</f>
      </c>
      <c r="I54">
        <f>RawData!I50</f>
      </c>
      <c r="J54">
        <f>IF(E54="양호",0,IF(E54="보통",3,IF(E54="불량",9,0)))</f>
      </c>
      <c r="K54">
        <f>IF(F54="거북등",3,IF(RIGHT(F54,2)="균열",1,IF(F54="-",0,0)))</f>
      </c>
      <c r="L54">
        <f>IF(G54="유출",9,IF(G54="습윤",1,IF(G54="양호",0,IF(G54="건조",0,0))))</f>
      </c>
      <c r="M54">
        <f>IF(H54&gt;=30,2,IF(H54&gt;=10,1,0))</f>
      </c>
      <c r="N54">
        <f>IF(I54="-",0,1)</f>
      </c>
      <c r="O54">
        <f>SUM(J54:N54)</f>
      </c>
      <c r="P54">
        <f>IF(O54&lt;6,"일반",IF(O54&lt;9,"우선","긴급"))</f>
      </c>
      <c r="Q54">
        <f>RawData!Q50</f>
      </c>
    </row>
    <row r="55">
      <c r="A55">
        <f>RawData!A51</f>
      </c>
      <c r="B55">
        <f>RIGHT(RawData!B51,2)</f>
      </c>
      <c r="C55">
        <f>RawData!C51</f>
      </c>
      <c r="D55">
        <f>RawData!D51</f>
      </c>
      <c r="E55">
        <f>RawData!E51</f>
      </c>
      <c r="F55">
        <f>RawData!F51</f>
      </c>
      <c r="G55">
        <f>RawData!G51</f>
      </c>
      <c r="H55">
        <f>RawData!H51</f>
      </c>
      <c r="I55">
        <f>RawData!I51</f>
      </c>
      <c r="J55">
        <f>IF(E55="양호",0,IF(E55="보통",3,IF(E55="불량",9,0)))</f>
      </c>
      <c r="K55">
        <f>IF(F55="거북등",3,IF(RIGHT(F55,2)="균열",1,IF(F55="-",0,0)))</f>
      </c>
      <c r="L55">
        <f>IF(G55="유출",9,IF(G55="습윤",1,IF(G55="양호",0,IF(G55="건조",0,0))))</f>
      </c>
      <c r="M55">
        <f>IF(H55&gt;=30,2,IF(H55&gt;=10,1,0))</f>
      </c>
      <c r="N55">
        <f>IF(I55="-",0,1)</f>
      </c>
      <c r="O55">
        <f>SUM(J55:N55)</f>
      </c>
      <c r="P55">
        <f>IF(O55&lt;6,"일반",IF(O55&lt;9,"우선","긴급"))</f>
      </c>
      <c r="Q55">
        <f>RawData!Q51</f>
      </c>
    </row>
    <row r="56">
      <c r="A56">
        <f>RawData!A52</f>
      </c>
      <c r="B56">
        <f>RIGHT(RawData!B52,2)</f>
      </c>
      <c r="C56">
        <f>RawData!C52</f>
      </c>
      <c r="D56">
        <f>RawData!D52</f>
      </c>
      <c r="E56">
        <f>RawData!E52</f>
      </c>
      <c r="F56">
        <f>RawData!F52</f>
      </c>
      <c r="G56">
        <f>RawData!G52</f>
      </c>
      <c r="H56">
        <f>RawData!H52</f>
      </c>
      <c r="I56">
        <f>RawData!I52</f>
      </c>
      <c r="J56">
        <f>IF(E56="양호",0,IF(E56="보통",3,IF(E56="불량",9,0)))</f>
      </c>
      <c r="K56">
        <f>IF(F56="거북등",3,IF(RIGHT(F56,2)="균열",1,IF(F56="-",0,0)))</f>
      </c>
      <c r="L56">
        <f>IF(G56="유출",9,IF(G56="습윤",1,IF(G56="양호",0,IF(G56="건조",0,0))))</f>
      </c>
      <c r="M56">
        <f>IF(H56&gt;=30,2,IF(H56&gt;=10,1,0))</f>
      </c>
      <c r="N56">
        <f>IF(I56="-",0,1)</f>
      </c>
      <c r="O56">
        <f>SUM(J56:N56)</f>
      </c>
      <c r="P56">
        <f>IF(O56&lt;6,"일반",IF(O56&lt;9,"우선","긴급"))</f>
      </c>
      <c r="Q56">
        <f>RawData!Q52</f>
      </c>
    </row>
    <row r="57">
      <c r="A57">
        <f>RawData!A53</f>
      </c>
      <c r="B57">
        <f>RIGHT(RawData!B53,2)</f>
      </c>
      <c r="C57">
        <f>RawData!C53</f>
      </c>
      <c r="D57">
        <f>RawData!D53</f>
      </c>
      <c r="E57">
        <f>RawData!E53</f>
      </c>
      <c r="F57">
        <f>RawData!F53</f>
      </c>
      <c r="G57">
        <f>RawData!G53</f>
      </c>
      <c r="H57">
        <f>RawData!H53</f>
      </c>
      <c r="I57">
        <f>RawData!I53</f>
      </c>
      <c r="J57">
        <f>IF(E57="양호",0,IF(E57="보통",3,IF(E57="불량",9,0)))</f>
      </c>
      <c r="K57">
        <f>IF(F57="거북등",3,IF(RIGHT(F57,2)="균열",1,IF(F57="-",0,0)))</f>
      </c>
      <c r="L57">
        <f>IF(G57="유출",9,IF(G57="습윤",1,IF(G57="양호",0,IF(G57="건조",0,0))))</f>
      </c>
      <c r="M57">
        <f>IF(H57&gt;=30,2,IF(H57&gt;=10,1,0))</f>
      </c>
      <c r="N57">
        <f>IF(I57="-",0,1)</f>
      </c>
      <c r="O57">
        <f>SUM(J57:N57)</f>
      </c>
      <c r="P57">
        <f>IF(O57&lt;6,"일반",IF(O57&lt;9,"우선","긴급"))</f>
      </c>
      <c r="Q57">
        <f>RawData!Q53</f>
      </c>
    </row>
    <row r="58">
      <c r="A58">
        <f>RawData!A54</f>
      </c>
      <c r="B58">
        <f>RIGHT(RawData!B54,2)</f>
      </c>
      <c r="C58">
        <f>RawData!C54</f>
      </c>
      <c r="D58">
        <f>RawData!D54</f>
      </c>
      <c r="E58">
        <f>RawData!E54</f>
      </c>
      <c r="F58">
        <f>RawData!F54</f>
      </c>
      <c r="G58">
        <f>RawData!G54</f>
      </c>
      <c r="H58">
        <f>RawData!H54</f>
      </c>
      <c r="I58">
        <f>RawData!I54</f>
      </c>
      <c r="J58">
        <f>IF(E58="양호",0,IF(E58="보통",3,IF(E58="불량",9,0)))</f>
      </c>
      <c r="K58">
        <f>IF(F58="거북등",3,IF(RIGHT(F58,2)="균열",1,IF(F58="-",0,0)))</f>
      </c>
      <c r="L58">
        <f>IF(G58="유출",9,IF(G58="습윤",1,IF(G58="양호",0,IF(G58="건조",0,0))))</f>
      </c>
      <c r="M58">
        <f>IF(H58&gt;=30,2,IF(H58&gt;=10,1,0))</f>
      </c>
      <c r="N58">
        <f>IF(I58="-",0,1)</f>
      </c>
      <c r="O58">
        <f>SUM(J58:N58)</f>
      </c>
      <c r="P58">
        <f>IF(O58&lt;6,"일반",IF(O58&lt;9,"우선","긴급"))</f>
      </c>
      <c r="Q58">
        <f>RawData!Q54</f>
      </c>
    </row>
    <row r="59">
      <c r="A59">
        <f>RawData!A55</f>
      </c>
      <c r="B59">
        <f>RIGHT(RawData!B55,2)</f>
      </c>
      <c r="C59">
        <f>RawData!C55</f>
      </c>
      <c r="D59">
        <f>RawData!D55</f>
      </c>
      <c r="E59">
        <f>RawData!E55</f>
      </c>
      <c r="F59">
        <f>RawData!F55</f>
      </c>
      <c r="G59">
        <f>RawData!G55</f>
      </c>
      <c r="H59">
        <f>RawData!H55</f>
      </c>
      <c r="I59">
        <f>RawData!I55</f>
      </c>
      <c r="J59">
        <f>IF(E59="양호",0,IF(E59="보통",3,IF(E59="불량",9,0)))</f>
      </c>
      <c r="K59">
        <f>IF(F59="거북등",3,IF(RIGHT(F59,2)="균열",1,IF(F59="-",0,0)))</f>
      </c>
      <c r="L59">
        <f>IF(G59="유출",9,IF(G59="습윤",1,IF(G59="양호",0,IF(G59="건조",0,0))))</f>
      </c>
      <c r="M59">
        <f>IF(H59&gt;=30,2,IF(H59&gt;=10,1,0))</f>
      </c>
      <c r="N59">
        <f>IF(I59="-",0,1)</f>
      </c>
      <c r="O59">
        <f>SUM(J59:N59)</f>
      </c>
      <c r="P59">
        <f>IF(O59&lt;6,"일반",IF(O59&lt;9,"우선","긴급"))</f>
      </c>
      <c r="Q59">
        <f>RawData!Q55</f>
      </c>
    </row>
    <row r="60">
      <c r="A60">
        <f>RawData!A56</f>
      </c>
      <c r="B60">
        <f>RIGHT(RawData!B56,2)</f>
      </c>
      <c r="C60">
        <f>RawData!C56</f>
      </c>
      <c r="D60">
        <f>RawData!D56</f>
      </c>
      <c r="E60">
        <f>RawData!E56</f>
      </c>
      <c r="F60">
        <f>RawData!F56</f>
      </c>
      <c r="G60">
        <f>RawData!G56</f>
      </c>
      <c r="H60">
        <f>RawData!H56</f>
      </c>
      <c r="I60">
        <f>RawData!I56</f>
      </c>
      <c r="J60">
        <f>IF(E60="양호",0,IF(E60="보통",3,IF(E60="불량",9,0)))</f>
      </c>
      <c r="K60">
        <f>IF(F60="거북등",3,IF(RIGHT(F60,2)="균열",1,IF(F60="-",0,0)))</f>
      </c>
      <c r="L60">
        <f>IF(G60="유출",9,IF(G60="습윤",1,IF(G60="양호",0,IF(G60="건조",0,0))))</f>
      </c>
      <c r="M60">
        <f>IF(H60&gt;=30,2,IF(H60&gt;=10,1,0))</f>
      </c>
      <c r="N60">
        <f>IF(I60="-",0,1)</f>
      </c>
      <c r="O60">
        <f>SUM(J60:N60)</f>
      </c>
      <c r="P60">
        <f>IF(O60&lt;6,"일반",IF(O60&lt;9,"우선","긴급"))</f>
      </c>
      <c r="Q60">
        <f>RawData!Q56</f>
      </c>
    </row>
    <row r="61">
      <c r="A61">
        <f>RawData!A57</f>
      </c>
      <c r="B61">
        <f>RIGHT(RawData!B57,2)</f>
      </c>
      <c r="C61">
        <f>RawData!C57</f>
      </c>
      <c r="D61">
        <f>RawData!D57</f>
      </c>
      <c r="E61">
        <f>RawData!E57</f>
      </c>
      <c r="F61">
        <f>RawData!F57</f>
      </c>
      <c r="G61">
        <f>RawData!G57</f>
      </c>
      <c r="H61">
        <f>RawData!H57</f>
      </c>
      <c r="I61">
        <f>RawData!I57</f>
      </c>
      <c r="J61">
        <f>IF(E61="양호",0,IF(E61="보통",3,IF(E61="불량",9,0)))</f>
      </c>
      <c r="K61">
        <f>IF(F61="거북등",3,IF(RIGHT(F61,2)="균열",1,IF(F61="-",0,0)))</f>
      </c>
      <c r="L61">
        <f>IF(G61="유출",9,IF(G61="습윤",1,IF(G61="양호",0,IF(G61="건조",0,0))))</f>
      </c>
      <c r="M61">
        <f>IF(H61&gt;=30,2,IF(H61&gt;=10,1,0))</f>
      </c>
      <c r="N61">
        <f>IF(I61="-",0,1)</f>
      </c>
      <c r="O61">
        <f>SUM(J61:N61)</f>
      </c>
      <c r="P61">
        <f>IF(O61&lt;6,"일반",IF(O61&lt;9,"우선","긴급"))</f>
      </c>
      <c r="Q61">
        <f>RawData!Q57</f>
      </c>
    </row>
    <row r="62">
      <c r="A62">
        <f>RawData!A58</f>
      </c>
      <c r="B62">
        <f>RIGHT(RawData!B58,2)</f>
      </c>
      <c r="C62">
        <f>RawData!C58</f>
      </c>
      <c r="D62">
        <f>RawData!D58</f>
      </c>
      <c r="E62">
        <f>RawData!E58</f>
      </c>
      <c r="F62">
        <f>RawData!F58</f>
      </c>
      <c r="G62">
        <f>RawData!G58</f>
      </c>
      <c r="H62">
        <f>RawData!H58</f>
      </c>
      <c r="I62">
        <f>RawData!I58</f>
      </c>
      <c r="J62">
        <f>IF(E62="양호",0,IF(E62="보통",3,IF(E62="불량",9,0)))</f>
      </c>
      <c r="K62">
        <f>IF(F62="거북등",3,IF(RIGHT(F62,2)="균열",1,IF(F62="-",0,0)))</f>
      </c>
      <c r="L62">
        <f>IF(G62="유출",9,IF(G62="습윤",1,IF(G62="양호",0,IF(G62="건조",0,0))))</f>
      </c>
      <c r="M62">
        <f>IF(H62&gt;=30,2,IF(H62&gt;=10,1,0))</f>
      </c>
      <c r="N62">
        <f>IF(I62="-",0,1)</f>
      </c>
      <c r="O62">
        <f>SUM(J62:N62)</f>
      </c>
      <c r="P62">
        <f>IF(O62&lt;6,"일반",IF(O62&lt;9,"우선","긴급"))</f>
      </c>
      <c r="Q62">
        <f>RawData!Q58</f>
      </c>
    </row>
    <row r="63">
      <c r="A63">
        <f>RawData!A59</f>
      </c>
      <c r="B63">
        <f>RIGHT(RawData!B59,2)</f>
      </c>
      <c r="C63">
        <f>RawData!C59</f>
      </c>
      <c r="D63">
        <f>RawData!D59</f>
      </c>
      <c r="E63">
        <f>RawData!E59</f>
      </c>
      <c r="F63">
        <f>RawData!F59</f>
      </c>
      <c r="G63">
        <f>RawData!G59</f>
      </c>
      <c r="H63">
        <f>RawData!H59</f>
      </c>
      <c r="I63">
        <f>RawData!I59</f>
      </c>
      <c r="J63">
        <f>IF(E63="양호",0,IF(E63="보통",3,IF(E63="불량",9,0)))</f>
      </c>
      <c r="K63">
        <f>IF(F63="거북등",3,IF(RIGHT(F63,2)="균열",1,IF(F63="-",0,0)))</f>
      </c>
      <c r="L63">
        <f>IF(G63="유출",9,IF(G63="습윤",1,IF(G63="양호",0,IF(G63="건조",0,0))))</f>
      </c>
      <c r="M63">
        <f>IF(H63&gt;=30,2,IF(H63&gt;=10,1,0))</f>
      </c>
      <c r="N63">
        <f>IF(I63="-",0,1)</f>
      </c>
      <c r="O63">
        <f>SUM(J63:N63)</f>
      </c>
      <c r="P63">
        <f>IF(O63&lt;6,"일반",IF(O63&lt;9,"우선","긴급"))</f>
      </c>
      <c r="Q63">
        <f>RawData!Q59</f>
      </c>
    </row>
    <row r="64">
      <c r="A64">
        <f>RawData!A60</f>
      </c>
      <c r="B64">
        <f>RIGHT(RawData!B60,2)</f>
      </c>
      <c r="C64">
        <f>RawData!C60</f>
      </c>
      <c r="D64">
        <f>RawData!D60</f>
      </c>
      <c r="E64">
        <f>RawData!E60</f>
      </c>
      <c r="F64">
        <f>RawData!F60</f>
      </c>
      <c r="G64">
        <f>RawData!G60</f>
      </c>
      <c r="H64">
        <f>RawData!H60</f>
      </c>
      <c r="I64">
        <f>RawData!I60</f>
      </c>
      <c r="J64">
        <f>IF(E64="양호",0,IF(E64="보통",3,IF(E64="불량",9,0)))</f>
      </c>
      <c r="K64">
        <f>IF(F64="거북등",3,IF(RIGHT(F64,2)="균열",1,IF(F64="-",0,0)))</f>
      </c>
      <c r="L64">
        <f>IF(G64="유출",9,IF(G64="습윤",1,IF(G64="양호",0,IF(G64="건조",0,0))))</f>
      </c>
      <c r="M64">
        <f>IF(H64&gt;=30,2,IF(H64&gt;=10,1,0))</f>
      </c>
      <c r="N64">
        <f>IF(I64="-",0,1)</f>
      </c>
      <c r="O64">
        <f>SUM(J64:N64)</f>
      </c>
      <c r="P64">
        <f>IF(O64&lt;6,"일반",IF(O64&lt;9,"우선","긴급"))</f>
      </c>
      <c r="Q64">
        <f>RawData!Q60</f>
      </c>
    </row>
    <row r="65">
      <c r="A65">
        <f>RawData!A61</f>
      </c>
      <c r="B65">
        <f>RIGHT(RawData!B61,2)</f>
      </c>
      <c r="C65">
        <f>RawData!C61</f>
      </c>
      <c r="D65">
        <f>RawData!D61</f>
      </c>
      <c r="E65">
        <f>RawData!E61</f>
      </c>
      <c r="F65">
        <f>RawData!F61</f>
      </c>
      <c r="G65">
        <f>RawData!G61</f>
      </c>
      <c r="H65">
        <f>RawData!H61</f>
      </c>
      <c r="I65">
        <f>RawData!I61</f>
      </c>
      <c r="J65">
        <f>IF(E65="양호",0,IF(E65="보통",3,IF(E65="불량",9,0)))</f>
      </c>
      <c r="K65">
        <f>IF(F65="거북등",3,IF(RIGHT(F65,2)="균열",1,IF(F65="-",0,0)))</f>
      </c>
      <c r="L65">
        <f>IF(G65="유출",9,IF(G65="습윤",1,IF(G65="양호",0,IF(G65="건조",0,0))))</f>
      </c>
      <c r="M65">
        <f>IF(H65&gt;=30,2,IF(H65&gt;=10,1,0))</f>
      </c>
      <c r="N65">
        <f>IF(I65="-",0,1)</f>
      </c>
      <c r="O65">
        <f>SUM(J65:N65)</f>
      </c>
      <c r="P65">
        <f>IF(O65&lt;6,"일반",IF(O65&lt;9,"우선","긴급"))</f>
      </c>
      <c r="Q65">
        <f>RawData!Q61</f>
      </c>
    </row>
    <row r="66">
      <c r="A66">
        <f>RawData!A62</f>
      </c>
      <c r="B66">
        <f>RIGHT(RawData!B62,2)</f>
      </c>
      <c r="C66">
        <f>RawData!C62</f>
      </c>
      <c r="D66">
        <f>RawData!D62</f>
      </c>
      <c r="E66">
        <f>RawData!E62</f>
      </c>
      <c r="F66">
        <f>RawData!F62</f>
      </c>
      <c r="G66">
        <f>RawData!G62</f>
      </c>
      <c r="H66">
        <f>RawData!H62</f>
      </c>
      <c r="I66">
        <f>RawData!I62</f>
      </c>
      <c r="J66">
        <f>IF(E66="양호",0,IF(E66="보통",3,IF(E66="불량",9,0)))</f>
      </c>
      <c r="K66">
        <f>IF(F66="거북등",3,IF(RIGHT(F66,2)="균열",1,IF(F66="-",0,0)))</f>
      </c>
      <c r="L66">
        <f>IF(G66="유출",9,IF(G66="습윤",1,IF(G66="양호",0,IF(G66="건조",0,0))))</f>
      </c>
      <c r="M66">
        <f>IF(H66&gt;=30,2,IF(H66&gt;=10,1,0))</f>
      </c>
      <c r="N66">
        <f>IF(I66="-",0,1)</f>
      </c>
      <c r="O66">
        <f>SUM(J66:N66)</f>
      </c>
      <c r="P66">
        <f>IF(O66&lt;6,"일반",IF(O66&lt;9,"우선","긴급"))</f>
      </c>
      <c r="Q66">
        <f>RawData!Q62</f>
      </c>
    </row>
    <row r="67">
      <c r="A67">
        <f>RawData!A63</f>
      </c>
      <c r="B67">
        <f>RIGHT(RawData!B63,2)</f>
      </c>
      <c r="C67">
        <f>RawData!C63</f>
      </c>
      <c r="D67">
        <f>RawData!D63</f>
      </c>
      <c r="E67">
        <f>RawData!E63</f>
      </c>
      <c r="F67">
        <f>RawData!F63</f>
      </c>
      <c r="G67">
        <f>RawData!G63</f>
      </c>
      <c r="H67">
        <f>RawData!H63</f>
      </c>
      <c r="I67">
        <f>RawData!I63</f>
      </c>
      <c r="J67">
        <f>IF(E67="양호",0,IF(E67="보통",3,IF(E67="불량",9,0)))</f>
      </c>
      <c r="K67">
        <f>IF(F67="거북등",3,IF(RIGHT(F67,2)="균열",1,IF(F67="-",0,0)))</f>
      </c>
      <c r="L67">
        <f>IF(G67="유출",9,IF(G67="습윤",1,IF(G67="양호",0,IF(G67="건조",0,0))))</f>
      </c>
      <c r="M67">
        <f>IF(H67&gt;=30,2,IF(H67&gt;=10,1,0))</f>
      </c>
      <c r="N67">
        <f>IF(I67="-",0,1)</f>
      </c>
      <c r="O67">
        <f>SUM(J67:N67)</f>
      </c>
      <c r="P67">
        <f>IF(O67&lt;6,"일반",IF(O67&lt;9,"우선","긴급"))</f>
      </c>
      <c r="Q67">
        <f>RawData!Q63</f>
      </c>
    </row>
  </sheetData>
  <ignoredErrors>
    <ignoredError numberStoredAsText="1" sqref="A1:Q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