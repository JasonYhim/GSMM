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3BBABB30-2DE7-4544-B6F3-75ADEE0A3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2" l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9" i="2"/>
  <c r="D10" i="2"/>
  <c r="E10" i="2"/>
  <c r="F10" i="2"/>
  <c r="K10" i="2" s="1"/>
  <c r="G10" i="2"/>
  <c r="L10" i="2" s="1"/>
  <c r="H10" i="2"/>
  <c r="M10" i="2" s="1"/>
  <c r="D11" i="2"/>
  <c r="I11" i="2" s="1"/>
  <c r="E11" i="2"/>
  <c r="J11" i="2" s="1"/>
  <c r="F11" i="2"/>
  <c r="K11" i="2" s="1"/>
  <c r="G11" i="2"/>
  <c r="L11" i="2" s="1"/>
  <c r="H11" i="2"/>
  <c r="M11" i="2" s="1"/>
  <c r="D12" i="2"/>
  <c r="I12" i="2" s="1"/>
  <c r="E12" i="2"/>
  <c r="J12" i="2" s="1"/>
  <c r="F12" i="2"/>
  <c r="G12" i="2"/>
  <c r="H12" i="2"/>
  <c r="M12" i="2" s="1"/>
  <c r="D13" i="2"/>
  <c r="I13" i="2" s="1"/>
  <c r="E13" i="2"/>
  <c r="J13" i="2" s="1"/>
  <c r="F13" i="2"/>
  <c r="K13" i="2" s="1"/>
  <c r="G13" i="2"/>
  <c r="L13" i="2" s="1"/>
  <c r="H13" i="2"/>
  <c r="M13" i="2" s="1"/>
  <c r="D14" i="2"/>
  <c r="I14" i="2" s="1"/>
  <c r="E14" i="2"/>
  <c r="J14" i="2" s="1"/>
  <c r="F14" i="2"/>
  <c r="K14" i="2" s="1"/>
  <c r="G14" i="2"/>
  <c r="L14" i="2" s="1"/>
  <c r="H14" i="2"/>
  <c r="D15" i="2"/>
  <c r="I15" i="2" s="1"/>
  <c r="E15" i="2"/>
  <c r="J15" i="2" s="1"/>
  <c r="F15" i="2"/>
  <c r="K15" i="2" s="1"/>
  <c r="G15" i="2"/>
  <c r="L15" i="2" s="1"/>
  <c r="H15" i="2"/>
  <c r="M15" i="2" s="1"/>
  <c r="D16" i="2"/>
  <c r="I16" i="2" s="1"/>
  <c r="E16" i="2"/>
  <c r="J16" i="2" s="1"/>
  <c r="F16" i="2"/>
  <c r="K16" i="2" s="1"/>
  <c r="G16" i="2"/>
  <c r="L16" i="2" s="1"/>
  <c r="H16" i="2"/>
  <c r="M16" i="2" s="1"/>
  <c r="D17" i="2"/>
  <c r="I17" i="2" s="1"/>
  <c r="E17" i="2"/>
  <c r="F17" i="2"/>
  <c r="G17" i="2"/>
  <c r="H17" i="2"/>
  <c r="D18" i="2"/>
  <c r="E18" i="2"/>
  <c r="J18" i="2" s="1"/>
  <c r="F18" i="2"/>
  <c r="K18" i="2" s="1"/>
  <c r="G18" i="2"/>
  <c r="L18" i="2" s="1"/>
  <c r="H18" i="2"/>
  <c r="M18" i="2" s="1"/>
  <c r="D19" i="2"/>
  <c r="I19" i="2" s="1"/>
  <c r="E19" i="2"/>
  <c r="J19" i="2" s="1"/>
  <c r="F19" i="2"/>
  <c r="K19" i="2" s="1"/>
  <c r="G19" i="2"/>
  <c r="H19" i="2"/>
  <c r="M19" i="2" s="1"/>
  <c r="D20" i="2"/>
  <c r="E20" i="2"/>
  <c r="J20" i="2" s="1"/>
  <c r="F20" i="2"/>
  <c r="K20" i="2" s="1"/>
  <c r="G20" i="2"/>
  <c r="L20" i="2" s="1"/>
  <c r="H20" i="2"/>
  <c r="M20" i="2" s="1"/>
  <c r="D21" i="2"/>
  <c r="I21" i="2" s="1"/>
  <c r="E21" i="2"/>
  <c r="J21" i="2" s="1"/>
  <c r="F21" i="2"/>
  <c r="K21" i="2" s="1"/>
  <c r="G21" i="2"/>
  <c r="L21" i="2" s="1"/>
  <c r="H21" i="2"/>
  <c r="M21" i="2" s="1"/>
  <c r="D22" i="2"/>
  <c r="E22" i="2"/>
  <c r="J22" i="2" s="1"/>
  <c r="F22" i="2"/>
  <c r="K22" i="2" s="1"/>
  <c r="G22" i="2"/>
  <c r="L22" i="2" s="1"/>
  <c r="H22" i="2"/>
  <c r="M22" i="2" s="1"/>
  <c r="D23" i="2"/>
  <c r="I23" i="2" s="1"/>
  <c r="E23" i="2"/>
  <c r="J23" i="2" s="1"/>
  <c r="F23" i="2"/>
  <c r="K23" i="2" s="1"/>
  <c r="G23" i="2"/>
  <c r="L23" i="2" s="1"/>
  <c r="H23" i="2"/>
  <c r="M23" i="2" s="1"/>
  <c r="D24" i="2"/>
  <c r="I24" i="2" s="1"/>
  <c r="E24" i="2"/>
  <c r="J24" i="2" s="1"/>
  <c r="F24" i="2"/>
  <c r="G24" i="2"/>
  <c r="H24" i="2"/>
  <c r="H9" i="2"/>
  <c r="G9" i="2"/>
  <c r="L9" i="2" s="1"/>
  <c r="F9" i="2"/>
  <c r="K9" i="2" s="1"/>
  <c r="E9" i="2"/>
  <c r="J9" i="2" s="1"/>
  <c r="D9" i="2"/>
  <c r="I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9" i="2"/>
  <c r="M24" i="2"/>
  <c r="L24" i="2"/>
  <c r="K24" i="2"/>
  <c r="I22" i="2"/>
  <c r="L19" i="2"/>
  <c r="I18" i="2"/>
  <c r="M17" i="2"/>
  <c r="L17" i="2"/>
  <c r="K17" i="2"/>
  <c r="J17" i="2"/>
  <c r="M14" i="2"/>
  <c r="L12" i="2"/>
  <c r="K12" i="2"/>
  <c r="J10" i="2"/>
  <c r="I10" i="2"/>
  <c r="M9" i="2"/>
  <c r="J5" i="2"/>
  <c r="C5" i="2"/>
  <c r="I20" i="2"/>
  <c r="N21" i="2" l="1"/>
  <c r="O21" i="2" s="1"/>
  <c r="N18" i="2"/>
  <c r="O18" i="2" s="1"/>
  <c r="N9" i="2"/>
  <c r="O9" i="2" s="1"/>
  <c r="N12" i="2"/>
  <c r="O12" i="2" s="1"/>
  <c r="N17" i="2"/>
  <c r="O17" i="2" s="1"/>
  <c r="N15" i="2"/>
  <c r="O15" i="2" s="1"/>
  <c r="N19" i="2"/>
  <c r="O19" i="2" s="1"/>
  <c r="N24" i="2"/>
  <c r="O24" i="2" s="1"/>
  <c r="N23" i="2"/>
  <c r="O23" i="2" s="1"/>
  <c r="N16" i="2"/>
  <c r="O16" i="2" s="1"/>
  <c r="N13" i="2"/>
  <c r="O13" i="2" s="1"/>
  <c r="N20" i="2"/>
  <c r="O20" i="2" s="1"/>
  <c r="N10" i="2"/>
  <c r="O10" i="2" s="1"/>
  <c r="N14" i="2"/>
  <c r="O14" i="2" s="1"/>
  <c r="N22" i="2"/>
  <c r="O22" i="2" s="1"/>
  <c r="N11" i="2"/>
  <c r="O11" i="2" s="1"/>
</calcChain>
</file>

<file path=xl/sharedStrings.xml><?xml version="1.0" encoding="utf-8"?>
<sst xmlns="http://schemas.openxmlformats.org/spreadsheetml/2006/main" count="441" uniqueCount="154">
  <si>
    <t>시행년도</t>
  </si>
  <si>
    <t>시행사 구분</t>
  </si>
  <si>
    <t>권역구 구분</t>
  </si>
  <si>
    <t>강남구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</si>
  <si>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</si>
  <si>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</si>
  <si>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</si>
  <si>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</si>
  <si>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</si>
  <si>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</si>
  <si>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</si>
  <si>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</si>
  <si>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</si>
  <si>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</si>
  <si>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</si>
  <si>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</si>
  <si>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</si>
  <si>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</si>
  <si>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</si>
  <si>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</si>
  <si>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</si>
  <si>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</si>
  <si>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</si>
  <si>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</si>
  <si>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</si>
  <si>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25-강남구-3</t>
  </si>
  <si>
    <t>양호</t>
  </si>
  <si>
    <t>거북등</t>
  </si>
  <si>
    <t>-</t>
  </si>
  <si>
    <t>일반</t>
  </si>
  <si>
    <t/>
  </si>
  <si>
    <t>역삼동 831</t>
  </si>
  <si>
    <t>혜천빌딩 앞 도로</t>
  </si>
  <si>
    <t>22년 발생 첫조사_x000D_
'23년 아스콘 보수(패칭)_x000D_
'25년 아스콘 재보수(패칭)</t>
  </si>
  <si>
    <t>25-강남구-4</t>
  </si>
  <si>
    <t>강남대로 350</t>
  </si>
  <si>
    <t>스케일타워 앞 도로</t>
  </si>
  <si>
    <t>25-강남구-5</t>
  </si>
  <si>
    <t>종균열</t>
  </si>
  <si>
    <t>역삼동 831-18</t>
  </si>
  <si>
    <t>역삼빌딩 앞 도로</t>
  </si>
  <si>
    <t>25-강남구-6</t>
  </si>
  <si>
    <t>역삼동 832</t>
  </si>
  <si>
    <t>우성아파트 앞 사거리 도로</t>
  </si>
  <si>
    <t>25-강남구-7</t>
  </si>
  <si>
    <t>역삼동 832-2</t>
  </si>
  <si>
    <t>역삼동832-2 알 도로</t>
  </si>
  <si>
    <t>25-강남구-8</t>
  </si>
  <si>
    <t>역삼동 837</t>
  </si>
  <si>
    <t>라온약국 앞 도로</t>
  </si>
  <si>
    <t>25-강남구-9</t>
  </si>
  <si>
    <t>5cm이하 침하</t>
  </si>
  <si>
    <t>역삼동 837-11</t>
  </si>
  <si>
    <t>유니온센터 주차장 입구 앞 도로</t>
  </si>
  <si>
    <t>25-강남구-10</t>
  </si>
  <si>
    <t>역삼동 837-36</t>
  </si>
  <si>
    <t>우리은행 앞 도로</t>
  </si>
  <si>
    <t>25-강남구-11</t>
  </si>
  <si>
    <t>역삼동 838</t>
  </si>
  <si>
    <t>뱅뱅사거리 도로</t>
  </si>
  <si>
    <t>25-강남구-12</t>
  </si>
  <si>
    <t>도곡동 946</t>
  </si>
  <si>
    <t>부영빌딩 앞 도로</t>
  </si>
  <si>
    <t>25-강남구-13</t>
  </si>
  <si>
    <t>도곡동 949</t>
  </si>
  <si>
    <t>메디움강남 요양병원 앞 도로</t>
  </si>
  <si>
    <t>25-강남구-14</t>
  </si>
  <si>
    <t>도곡동 949-3</t>
  </si>
  <si>
    <t>캠코양재타워 주차장 앞 도로</t>
  </si>
  <si>
    <t>25-강남구-15</t>
  </si>
  <si>
    <t>한국자산관리공사 앞 도로</t>
  </si>
  <si>
    <t>25-강남구-16</t>
  </si>
  <si>
    <t>도곡동 952-6</t>
  </si>
  <si>
    <t>도루코본사 앞 도로</t>
  </si>
  <si>
    <t>25-강남구-17</t>
  </si>
  <si>
    <t>도곡동 953</t>
  </si>
  <si>
    <t>강남 현안과의원 앞 도로</t>
  </si>
  <si>
    <t>25-강남구-18</t>
  </si>
  <si>
    <t>도곡동 958-34</t>
  </si>
  <si>
    <t>양재역 #3번 출구 앞 도로</t>
  </si>
  <si>
    <t>26-강남구-01</t>
  </si>
  <si>
    <t>역삼동825-13</t>
  </si>
  <si>
    <t>강남센터빌딩 KB은행 앞도로(강남대로388)</t>
  </si>
  <si>
    <t>26-강남구-02</t>
  </si>
  <si>
    <t>역삼동825-2</t>
  </si>
  <si>
    <t>메리츠타워 앞도로(강남대로382)</t>
  </si>
  <si>
    <t>26-강남구-03</t>
  </si>
  <si>
    <t>역삼동826</t>
  </si>
  <si>
    <t>케이스퀘어강남2 앞 도로(강남대로374)</t>
  </si>
  <si>
    <t>26-강남구-04</t>
  </si>
  <si>
    <t>역삼동826-24</t>
  </si>
  <si>
    <t>화이트타워 앞 도로(강남대로372)</t>
  </si>
  <si>
    <t>26-강남구-05</t>
  </si>
  <si>
    <t>역삼동826-21</t>
  </si>
  <si>
    <t>미왕빌딩 앞 도로(강남대로364)</t>
  </si>
  <si>
    <t>26-강남구-06</t>
  </si>
  <si>
    <t>5cm미만 침하</t>
  </si>
  <si>
    <t>역삼동831</t>
  </si>
  <si>
    <t>혜천빌딩 앞도로(강남대로354)</t>
  </si>
  <si>
    <t>22년 발생 첫조사'23년 아스콘 보수(패칭)'25년 아스콘 재보수(패칭)</t>
  </si>
  <si>
    <t>26-강남구-07</t>
  </si>
  <si>
    <t>역삼동831-7</t>
  </si>
  <si>
    <t>현대자동차강남대로사옥 앞 도로(강남대로350)</t>
  </si>
  <si>
    <t>26-강남구-08</t>
  </si>
  <si>
    <t>우성아파트앞 사거리</t>
  </si>
  <si>
    <t>교차로(강남대로346-2)</t>
  </si>
  <si>
    <t>26-강남구-09</t>
  </si>
  <si>
    <t>역삼동832-2</t>
  </si>
  <si>
    <t>더갤러리832 앞 도로(강남대로330)</t>
  </si>
  <si>
    <t>26-강남구-10</t>
  </si>
  <si>
    <t>역삼동837</t>
  </si>
  <si>
    <t>타워837 앞 도로(강남대로318)</t>
  </si>
  <si>
    <t>26-강남구-11</t>
  </si>
  <si>
    <t>역삼동838</t>
  </si>
  <si>
    <t>KB라이프타워 앞 도로(강남대로298)</t>
  </si>
  <si>
    <t>26-강남구-12</t>
  </si>
  <si>
    <t>도곡동943</t>
  </si>
  <si>
    <t>뱅뱅빌딩 현대자동차 앞 도로(강남대로292)</t>
  </si>
  <si>
    <t>26-강남구-13</t>
  </si>
  <si>
    <t>도곡동949-1</t>
  </si>
  <si>
    <t>도곡푸르지오아파트 앞 도로(강남대로54길6)</t>
  </si>
  <si>
    <t>26-강남구-14</t>
  </si>
  <si>
    <t>도곡동952</t>
  </si>
  <si>
    <t>대우양재디오빌 앞 도로(강남대로256)</t>
  </si>
  <si>
    <t>26-강남구-15</t>
  </si>
  <si>
    <t>도곡동952-6</t>
  </si>
  <si>
    <t>도루코사옥 앞 도로(강남대로254)</t>
  </si>
  <si>
    <t>26-강남구-16</t>
  </si>
  <si>
    <t>도곡동953</t>
  </si>
  <si>
    <t>다림빌딩 앞 도로 (강남대로246)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</si>
  <si>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</si>
  <si>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</si>
  <si>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</si>
  <si>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</si>
  <si>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</si>
  <si>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</si>
  <si>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</si>
  <si>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3" type="noConversion"/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</si>
  <si>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</si>
  <si>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</si>
  <si>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</si>
  <si>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</si>
  <si>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</si>
  <si>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</si>
  <si>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</si>
  <si>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</si>
  <si>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</si>
  <si>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신분당선㈜</t>
    <phoneticPr fontId="3" type="noConversion"/>
  </si>
  <si>
    <t>25-강남구-1</t>
  </si>
  <si>
    <t>역삼동 858</t>
  </si>
  <si>
    <t>25-강남구-2</t>
  </si>
  <si>
    <t>역삼동 826</t>
  </si>
  <si>
    <t>강남역 교차로 도로</t>
  </si>
  <si>
    <t>올리브영 강남중앙점 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</si>
</sst>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F09D0FDD-4142-4024-9332-02076273799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G16" sqref="G16"/>
    </sheetView>
  </sheetViews>
  <sheetFormatPr defaultRowHeight="17.25" x14ac:dyDescent="0.3"/>
  <sheetData>
    <row r="1" spans="1:21" x14ac:dyDescent="0.3">
      <c r="B1" t="s">
        <v>1</v>
      </c>
      <c r="C1" t="s">
        <v>2</v>
      </c>
    </row>
    <row r="2" spans="1:21" x14ac:dyDescent="0.3">
      <c r="B2" t="s">
        <v>147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>
        <v>1</v>
      </c>
      <c r="C5" t="s">
        <v>24</v>
      </c>
      <c r="D5" t="s">
        <v>80</v>
      </c>
      <c r="E5" t="s">
        <v>26</v>
      </c>
      <c r="F5" t="s">
        <v>27</v>
      </c>
      <c r="G5" t="s">
        <v>26</v>
      </c>
      <c r="H5">
        <v>14.5</v>
      </c>
      <c r="I5" t="s">
        <v>28</v>
      </c>
      <c r="J5">
        <v>0</v>
      </c>
      <c r="K5">
        <v>3</v>
      </c>
      <c r="L5">
        <v>0</v>
      </c>
      <c r="M5">
        <v>1</v>
      </c>
      <c r="N5">
        <v>0</v>
      </c>
      <c r="O5">
        <v>4</v>
      </c>
      <c r="P5" t="s">
        <v>29</v>
      </c>
      <c r="Q5" t="s">
        <v>28</v>
      </c>
      <c r="R5" t="s">
        <v>81</v>
      </c>
      <c r="S5" t="s">
        <v>30</v>
      </c>
      <c r="T5" t="s">
        <v>82</v>
      </c>
      <c r="U5" t="s">
        <v>30</v>
      </c>
    </row>
    <row r="6" spans="1:21" x14ac:dyDescent="0.3">
      <c r="A6">
        <v>2026</v>
      </c>
      <c r="B6">
        <v>2</v>
      </c>
      <c r="C6" t="s">
        <v>24</v>
      </c>
      <c r="D6" t="s">
        <v>83</v>
      </c>
      <c r="E6" t="s">
        <v>26</v>
      </c>
      <c r="F6" t="s">
        <v>27</v>
      </c>
      <c r="G6" t="s">
        <v>26</v>
      </c>
      <c r="H6">
        <v>14.5</v>
      </c>
      <c r="I6" t="s">
        <v>28</v>
      </c>
      <c r="J6">
        <v>0</v>
      </c>
      <c r="K6">
        <v>3</v>
      </c>
      <c r="L6">
        <v>0</v>
      </c>
      <c r="M6">
        <v>1</v>
      </c>
      <c r="N6">
        <v>0</v>
      </c>
      <c r="O6">
        <v>4</v>
      </c>
      <c r="P6" t="s">
        <v>29</v>
      </c>
      <c r="Q6" t="s">
        <v>28</v>
      </c>
      <c r="R6" t="s">
        <v>84</v>
      </c>
      <c r="S6" t="s">
        <v>30</v>
      </c>
      <c r="T6" t="s">
        <v>85</v>
      </c>
      <c r="U6" t="s">
        <v>30</v>
      </c>
    </row>
    <row r="7" spans="1:21" x14ac:dyDescent="0.3">
      <c r="A7">
        <v>2026</v>
      </c>
      <c r="B7">
        <v>3</v>
      </c>
      <c r="C7" t="s">
        <v>24</v>
      </c>
      <c r="D7" t="s">
        <v>86</v>
      </c>
      <c r="E7" t="s">
        <v>26</v>
      </c>
      <c r="F7" t="s">
        <v>27</v>
      </c>
      <c r="G7" t="s">
        <v>26</v>
      </c>
      <c r="H7">
        <v>14.5</v>
      </c>
      <c r="I7" t="s">
        <v>28</v>
      </c>
      <c r="J7">
        <v>0</v>
      </c>
      <c r="K7">
        <v>3</v>
      </c>
      <c r="L7">
        <v>0</v>
      </c>
      <c r="M7">
        <v>1</v>
      </c>
      <c r="N7">
        <v>0</v>
      </c>
      <c r="O7">
        <v>4</v>
      </c>
      <c r="P7" t="s">
        <v>29</v>
      </c>
      <c r="Q7" t="s">
        <v>28</v>
      </c>
      <c r="R7" t="s">
        <v>87</v>
      </c>
      <c r="S7" t="s">
        <v>30</v>
      </c>
      <c r="T7" t="s">
        <v>88</v>
      </c>
      <c r="U7" t="s">
        <v>30</v>
      </c>
    </row>
    <row r="8" spans="1:21" x14ac:dyDescent="0.3">
      <c r="A8">
        <v>2026</v>
      </c>
      <c r="B8">
        <v>4</v>
      </c>
      <c r="C8" t="s">
        <v>24</v>
      </c>
      <c r="D8" t="s">
        <v>89</v>
      </c>
      <c r="E8" t="s">
        <v>26</v>
      </c>
      <c r="F8" t="s">
        <v>27</v>
      </c>
      <c r="G8" t="s">
        <v>26</v>
      </c>
      <c r="H8">
        <v>14.5</v>
      </c>
      <c r="I8" t="s">
        <v>28</v>
      </c>
      <c r="J8">
        <v>0</v>
      </c>
      <c r="K8">
        <v>3</v>
      </c>
      <c r="L8">
        <v>0</v>
      </c>
      <c r="M8">
        <v>1</v>
      </c>
      <c r="N8">
        <v>0</v>
      </c>
      <c r="O8">
        <v>4</v>
      </c>
      <c r="P8" t="s">
        <v>29</v>
      </c>
      <c r="Q8" t="s">
        <v>28</v>
      </c>
      <c r="R8" t="s">
        <v>90</v>
      </c>
      <c r="S8" t="s">
        <v>30</v>
      </c>
      <c r="T8" t="s">
        <v>91</v>
      </c>
      <c r="U8" t="s">
        <v>30</v>
      </c>
    </row>
    <row r="9" spans="1:21" x14ac:dyDescent="0.3">
      <c r="A9">
        <v>2026</v>
      </c>
      <c r="B9">
        <v>5</v>
      </c>
      <c r="C9" t="s">
        <v>24</v>
      </c>
      <c r="D9" t="s">
        <v>92</v>
      </c>
      <c r="E9" t="s">
        <v>26</v>
      </c>
      <c r="F9" t="s">
        <v>27</v>
      </c>
      <c r="G9" t="s">
        <v>26</v>
      </c>
      <c r="H9">
        <v>14.5</v>
      </c>
      <c r="I9" t="s">
        <v>28</v>
      </c>
      <c r="J9">
        <v>0</v>
      </c>
      <c r="K9">
        <v>3</v>
      </c>
      <c r="L9">
        <v>0</v>
      </c>
      <c r="M9">
        <v>1</v>
      </c>
      <c r="N9">
        <v>0</v>
      </c>
      <c r="O9">
        <v>4</v>
      </c>
      <c r="P9" t="s">
        <v>29</v>
      </c>
      <c r="Q9" t="s">
        <v>28</v>
      </c>
      <c r="R9" t="s">
        <v>93</v>
      </c>
      <c r="S9" t="s">
        <v>30</v>
      </c>
      <c r="T9" t="s">
        <v>94</v>
      </c>
      <c r="U9" t="s">
        <v>30</v>
      </c>
    </row>
    <row r="10" spans="1:21" x14ac:dyDescent="0.3">
      <c r="A10">
        <v>2026</v>
      </c>
      <c r="B10">
        <v>6</v>
      </c>
      <c r="C10" t="s">
        <v>24</v>
      </c>
      <c r="D10" t="s">
        <v>95</v>
      </c>
      <c r="E10" t="s">
        <v>26</v>
      </c>
      <c r="F10" t="s">
        <v>27</v>
      </c>
      <c r="G10" t="s">
        <v>26</v>
      </c>
      <c r="H10">
        <v>14.5</v>
      </c>
      <c r="I10" t="s">
        <v>28</v>
      </c>
      <c r="J10">
        <v>0</v>
      </c>
      <c r="K10">
        <v>3</v>
      </c>
      <c r="L10">
        <v>0</v>
      </c>
      <c r="M10">
        <v>1</v>
      </c>
      <c r="N10">
        <v>0</v>
      </c>
      <c r="O10">
        <v>4</v>
      </c>
      <c r="P10" t="s">
        <v>29</v>
      </c>
      <c r="Q10" t="s">
        <v>96</v>
      </c>
      <c r="R10" t="s">
        <v>97</v>
      </c>
      <c r="S10" t="s">
        <v>30</v>
      </c>
      <c r="T10" t="s">
        <v>98</v>
      </c>
      <c r="U10" t="s">
        <v>99</v>
      </c>
    </row>
    <row r="11" spans="1:21" x14ac:dyDescent="0.3">
      <c r="A11">
        <v>2026</v>
      </c>
      <c r="B11">
        <v>7</v>
      </c>
      <c r="C11" t="s">
        <v>24</v>
      </c>
      <c r="D11" t="s">
        <v>100</v>
      </c>
      <c r="E11" t="s">
        <v>26</v>
      </c>
      <c r="F11" t="s">
        <v>27</v>
      </c>
      <c r="G11" t="s">
        <v>26</v>
      </c>
      <c r="H11">
        <v>14.5</v>
      </c>
      <c r="I11" t="s">
        <v>28</v>
      </c>
      <c r="J11">
        <v>0</v>
      </c>
      <c r="K11">
        <v>3</v>
      </c>
      <c r="L11">
        <v>0</v>
      </c>
      <c r="M11">
        <v>1</v>
      </c>
      <c r="N11">
        <v>0</v>
      </c>
      <c r="O11">
        <v>4</v>
      </c>
      <c r="P11" t="s">
        <v>29</v>
      </c>
      <c r="Q11" t="s">
        <v>28</v>
      </c>
      <c r="R11" t="s">
        <v>101</v>
      </c>
      <c r="S11" t="s">
        <v>30</v>
      </c>
      <c r="T11" t="s">
        <v>102</v>
      </c>
      <c r="U11" t="s">
        <v>30</v>
      </c>
    </row>
    <row r="12" spans="1:21" x14ac:dyDescent="0.3">
      <c r="A12">
        <v>2026</v>
      </c>
      <c r="B12">
        <v>8</v>
      </c>
      <c r="C12" t="s">
        <v>24</v>
      </c>
      <c r="D12" t="s">
        <v>103</v>
      </c>
      <c r="E12" t="s">
        <v>26</v>
      </c>
      <c r="F12" t="s">
        <v>27</v>
      </c>
      <c r="G12" t="s">
        <v>26</v>
      </c>
      <c r="H12">
        <v>14.5</v>
      </c>
      <c r="I12" t="s">
        <v>28</v>
      </c>
      <c r="J12">
        <v>0</v>
      </c>
      <c r="K12">
        <v>3</v>
      </c>
      <c r="L12">
        <v>0</v>
      </c>
      <c r="M12">
        <v>1</v>
      </c>
      <c r="N12">
        <v>0</v>
      </c>
      <c r="O12">
        <v>4</v>
      </c>
      <c r="P12" t="s">
        <v>29</v>
      </c>
      <c r="Q12" t="s">
        <v>28</v>
      </c>
      <c r="R12" t="s">
        <v>104</v>
      </c>
      <c r="S12" t="s">
        <v>30</v>
      </c>
      <c r="T12" t="s">
        <v>105</v>
      </c>
      <c r="U12" t="s">
        <v>30</v>
      </c>
    </row>
    <row r="13" spans="1:21" x14ac:dyDescent="0.3">
      <c r="A13">
        <v>2026</v>
      </c>
      <c r="B13">
        <v>9</v>
      </c>
      <c r="C13" t="s">
        <v>24</v>
      </c>
      <c r="D13" t="s">
        <v>106</v>
      </c>
      <c r="E13" t="s">
        <v>26</v>
      </c>
      <c r="F13" t="s">
        <v>27</v>
      </c>
      <c r="G13" t="s">
        <v>26</v>
      </c>
      <c r="H13">
        <v>14.5</v>
      </c>
      <c r="I13" t="s">
        <v>28</v>
      </c>
      <c r="J13">
        <v>0</v>
      </c>
      <c r="K13">
        <v>3</v>
      </c>
      <c r="L13">
        <v>0</v>
      </c>
      <c r="M13">
        <v>1</v>
      </c>
      <c r="N13">
        <v>0</v>
      </c>
      <c r="O13">
        <v>4</v>
      </c>
      <c r="P13" t="s">
        <v>29</v>
      </c>
      <c r="Q13" t="s">
        <v>28</v>
      </c>
      <c r="R13" t="s">
        <v>107</v>
      </c>
      <c r="S13" t="s">
        <v>30</v>
      </c>
      <c r="T13" t="s">
        <v>108</v>
      </c>
      <c r="U13" t="s">
        <v>30</v>
      </c>
    </row>
    <row r="14" spans="1:21" x14ac:dyDescent="0.3">
      <c r="A14">
        <v>2026</v>
      </c>
      <c r="B14">
        <v>10</v>
      </c>
      <c r="C14" t="s">
        <v>24</v>
      </c>
      <c r="D14" t="s">
        <v>109</v>
      </c>
      <c r="E14" t="s">
        <v>26</v>
      </c>
      <c r="F14" t="s">
        <v>27</v>
      </c>
      <c r="G14" t="s">
        <v>26</v>
      </c>
      <c r="H14">
        <v>14.5</v>
      </c>
      <c r="I14" t="s">
        <v>28</v>
      </c>
      <c r="J14">
        <v>0</v>
      </c>
      <c r="K14">
        <v>3</v>
      </c>
      <c r="L14">
        <v>0</v>
      </c>
      <c r="M14">
        <v>1</v>
      </c>
      <c r="N14">
        <v>0</v>
      </c>
      <c r="O14">
        <v>4</v>
      </c>
      <c r="P14" t="s">
        <v>29</v>
      </c>
      <c r="Q14" t="s">
        <v>28</v>
      </c>
      <c r="R14" t="s">
        <v>110</v>
      </c>
      <c r="S14" t="s">
        <v>30</v>
      </c>
      <c r="T14" t="s">
        <v>111</v>
      </c>
      <c r="U14" t="s">
        <v>30</v>
      </c>
    </row>
    <row r="15" spans="1:21" x14ac:dyDescent="0.3">
      <c r="A15">
        <v>2026</v>
      </c>
      <c r="B15">
        <v>11</v>
      </c>
      <c r="C15" t="s">
        <v>24</v>
      </c>
      <c r="D15" t="s">
        <v>112</v>
      </c>
      <c r="E15" t="s">
        <v>26</v>
      </c>
      <c r="F15" t="s">
        <v>27</v>
      </c>
      <c r="G15" t="s">
        <v>26</v>
      </c>
      <c r="H15">
        <v>14.5</v>
      </c>
      <c r="I15" t="s">
        <v>28</v>
      </c>
      <c r="J15">
        <v>0</v>
      </c>
      <c r="K15">
        <v>3</v>
      </c>
      <c r="L15">
        <v>0</v>
      </c>
      <c r="M15">
        <v>1</v>
      </c>
      <c r="N15">
        <v>0</v>
      </c>
      <c r="O15">
        <v>4</v>
      </c>
      <c r="P15" t="s">
        <v>29</v>
      </c>
      <c r="Q15" t="s">
        <v>28</v>
      </c>
      <c r="R15" t="s">
        <v>113</v>
      </c>
      <c r="S15" t="s">
        <v>30</v>
      </c>
      <c r="T15" t="s">
        <v>114</v>
      </c>
      <c r="U15" t="s">
        <v>30</v>
      </c>
    </row>
    <row r="16" spans="1:21" x14ac:dyDescent="0.3">
      <c r="A16">
        <v>2026</v>
      </c>
      <c r="B16">
        <v>12</v>
      </c>
      <c r="C16" t="s">
        <v>24</v>
      </c>
      <c r="D16" t="s">
        <v>115</v>
      </c>
      <c r="E16" t="s">
        <v>26</v>
      </c>
      <c r="F16" t="s">
        <v>27</v>
      </c>
      <c r="G16" t="s">
        <v>26</v>
      </c>
      <c r="H16">
        <v>14.5</v>
      </c>
      <c r="I16" t="s">
        <v>28</v>
      </c>
      <c r="J16">
        <v>0</v>
      </c>
      <c r="K16">
        <v>3</v>
      </c>
      <c r="L16">
        <v>0</v>
      </c>
      <c r="M16">
        <v>1</v>
      </c>
      <c r="N16">
        <v>0</v>
      </c>
      <c r="O16">
        <v>4</v>
      </c>
      <c r="P16" t="s">
        <v>29</v>
      </c>
      <c r="Q16" t="s">
        <v>28</v>
      </c>
      <c r="R16" t="s">
        <v>116</v>
      </c>
      <c r="S16" t="s">
        <v>30</v>
      </c>
      <c r="T16" t="s">
        <v>117</v>
      </c>
      <c r="U16" t="s">
        <v>30</v>
      </c>
    </row>
    <row r="17" spans="1:21" x14ac:dyDescent="0.3">
      <c r="A17">
        <v>2026</v>
      </c>
      <c r="B17">
        <v>13</v>
      </c>
      <c r="C17" t="s">
        <v>24</v>
      </c>
      <c r="D17" t="s">
        <v>118</v>
      </c>
      <c r="E17" t="s">
        <v>26</v>
      </c>
      <c r="F17" t="s">
        <v>27</v>
      </c>
      <c r="G17" t="s">
        <v>26</v>
      </c>
      <c r="H17">
        <v>14.5</v>
      </c>
      <c r="I17" t="s">
        <v>28</v>
      </c>
      <c r="J17">
        <v>0</v>
      </c>
      <c r="K17">
        <v>3</v>
      </c>
      <c r="L17">
        <v>0</v>
      </c>
      <c r="M17">
        <v>1</v>
      </c>
      <c r="N17">
        <v>0</v>
      </c>
      <c r="O17">
        <v>4</v>
      </c>
      <c r="P17" t="s">
        <v>29</v>
      </c>
      <c r="Q17" t="s">
        <v>28</v>
      </c>
      <c r="R17" t="s">
        <v>119</v>
      </c>
      <c r="S17" t="s">
        <v>30</v>
      </c>
      <c r="T17" t="s">
        <v>120</v>
      </c>
      <c r="U17" t="s">
        <v>30</v>
      </c>
    </row>
    <row r="18" spans="1:21" x14ac:dyDescent="0.3">
      <c r="A18">
        <v>2026</v>
      </c>
      <c r="B18">
        <v>14</v>
      </c>
      <c r="C18" t="s">
        <v>24</v>
      </c>
      <c r="D18" t="s">
        <v>121</v>
      </c>
      <c r="E18" t="s">
        <v>26</v>
      </c>
      <c r="F18" t="s">
        <v>27</v>
      </c>
      <c r="G18" t="s">
        <v>26</v>
      </c>
      <c r="H18">
        <v>14.5</v>
      </c>
      <c r="I18" t="s">
        <v>28</v>
      </c>
      <c r="J18">
        <v>0</v>
      </c>
      <c r="K18">
        <v>3</v>
      </c>
      <c r="L18">
        <v>0</v>
      </c>
      <c r="M18">
        <v>1</v>
      </c>
      <c r="N18">
        <v>0</v>
      </c>
      <c r="O18">
        <v>4</v>
      </c>
      <c r="P18" t="s">
        <v>29</v>
      </c>
      <c r="Q18" t="s">
        <v>28</v>
      </c>
      <c r="R18" t="s">
        <v>122</v>
      </c>
      <c r="S18" t="s">
        <v>30</v>
      </c>
      <c r="T18" t="s">
        <v>123</v>
      </c>
      <c r="U18" t="s">
        <v>30</v>
      </c>
    </row>
    <row r="19" spans="1:21" x14ac:dyDescent="0.3">
      <c r="A19">
        <v>2026</v>
      </c>
      <c r="B19">
        <v>15</v>
      </c>
      <c r="C19" t="s">
        <v>24</v>
      </c>
      <c r="D19" t="s">
        <v>124</v>
      </c>
      <c r="E19" t="s">
        <v>26</v>
      </c>
      <c r="F19" t="s">
        <v>27</v>
      </c>
      <c r="G19" t="s">
        <v>26</v>
      </c>
      <c r="H19">
        <v>14.5</v>
      </c>
      <c r="I19" t="s">
        <v>28</v>
      </c>
      <c r="J19">
        <v>0</v>
      </c>
      <c r="K19">
        <v>3</v>
      </c>
      <c r="L19">
        <v>0</v>
      </c>
      <c r="M19">
        <v>1</v>
      </c>
      <c r="N19">
        <v>0</v>
      </c>
      <c r="O19">
        <v>4</v>
      </c>
      <c r="P19" t="s">
        <v>29</v>
      </c>
      <c r="Q19" t="s">
        <v>28</v>
      </c>
      <c r="R19" t="s">
        <v>125</v>
      </c>
      <c r="S19" t="s">
        <v>30</v>
      </c>
      <c r="T19" t="s">
        <v>126</v>
      </c>
      <c r="U19" t="s">
        <v>30</v>
      </c>
    </row>
    <row r="20" spans="1:21" x14ac:dyDescent="0.3">
      <c r="A20">
        <v>2026</v>
      </c>
      <c r="B20">
        <v>16</v>
      </c>
      <c r="C20" t="s">
        <v>24</v>
      </c>
      <c r="D20" t="s">
        <v>127</v>
      </c>
      <c r="E20" t="s">
        <v>26</v>
      </c>
      <c r="F20" t="s">
        <v>27</v>
      </c>
      <c r="G20" t="s">
        <v>26</v>
      </c>
      <c r="H20">
        <v>14.5</v>
      </c>
      <c r="I20" t="s">
        <v>28</v>
      </c>
      <c r="J20">
        <v>0</v>
      </c>
      <c r="K20">
        <v>3</v>
      </c>
      <c r="L20">
        <v>0</v>
      </c>
      <c r="M20">
        <v>1</v>
      </c>
      <c r="N20">
        <v>0</v>
      </c>
      <c r="O20">
        <v>4</v>
      </c>
      <c r="P20" t="s">
        <v>29</v>
      </c>
      <c r="Q20" t="s">
        <v>28</v>
      </c>
      <c r="R20" t="s">
        <v>128</v>
      </c>
      <c r="S20" t="s">
        <v>30</v>
      </c>
      <c r="T20" t="s">
        <v>129</v>
      </c>
      <c r="U20" t="s">
        <v>30</v>
      </c>
    </row>
    <row r="21" spans="1:21" x14ac:dyDescent="0.3">
      <c r="A21">
        <v>2025</v>
      </c>
      <c r="B21">
        <v>1</v>
      </c>
      <c r="C21" t="s">
        <v>24</v>
      </c>
      <c r="D21" t="s">
        <v>148</v>
      </c>
      <c r="E21" t="s">
        <v>26</v>
      </c>
      <c r="F21" t="s">
        <v>27</v>
      </c>
      <c r="G21" t="s">
        <v>26</v>
      </c>
      <c r="H21">
        <v>13.5</v>
      </c>
      <c r="I21" t="s">
        <v>28</v>
      </c>
      <c r="J21">
        <v>0</v>
      </c>
      <c r="K21">
        <v>3</v>
      </c>
      <c r="L21">
        <v>0</v>
      </c>
      <c r="M21">
        <v>1</v>
      </c>
      <c r="N21">
        <v>0</v>
      </c>
      <c r="O21">
        <v>4</v>
      </c>
      <c r="P21" t="s">
        <v>29</v>
      </c>
      <c r="R21" t="s">
        <v>149</v>
      </c>
      <c r="S21" t="s">
        <v>30</v>
      </c>
      <c r="T21" t="s">
        <v>152</v>
      </c>
      <c r="U21" t="s">
        <v>33</v>
      </c>
    </row>
    <row r="22" spans="1:21" x14ac:dyDescent="0.3">
      <c r="A22">
        <v>2025</v>
      </c>
      <c r="B22">
        <v>2</v>
      </c>
      <c r="C22" t="s">
        <v>24</v>
      </c>
      <c r="D22" t="s">
        <v>150</v>
      </c>
      <c r="E22" t="s">
        <v>26</v>
      </c>
      <c r="F22" t="s">
        <v>27</v>
      </c>
      <c r="G22" t="s">
        <v>26</v>
      </c>
      <c r="H22">
        <v>13.5</v>
      </c>
      <c r="I22" t="s">
        <v>28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">
        <v>29</v>
      </c>
      <c r="R22" t="s">
        <v>151</v>
      </c>
      <c r="S22" t="s">
        <v>30</v>
      </c>
      <c r="T22" t="s">
        <v>153</v>
      </c>
      <c r="U22" t="s">
        <v>30</v>
      </c>
    </row>
    <row r="23" spans="1:21" x14ac:dyDescent="0.3">
      <c r="A23">
        <v>2025</v>
      </c>
      <c r="B23">
        <v>3</v>
      </c>
      <c r="C23" t="s">
        <v>24</v>
      </c>
      <c r="D23" t="s">
        <v>25</v>
      </c>
      <c r="E23" t="s">
        <v>26</v>
      </c>
      <c r="F23" t="s">
        <v>27</v>
      </c>
      <c r="G23" t="s">
        <v>26</v>
      </c>
      <c r="H23">
        <v>13.5</v>
      </c>
      <c r="I23" t="s">
        <v>28</v>
      </c>
      <c r="J23">
        <v>0</v>
      </c>
      <c r="K23">
        <v>3</v>
      </c>
      <c r="L23">
        <v>0</v>
      </c>
      <c r="M23">
        <v>1</v>
      </c>
      <c r="N23">
        <v>0</v>
      </c>
      <c r="O23">
        <v>4</v>
      </c>
      <c r="P23" t="s">
        <v>29</v>
      </c>
      <c r="R23" t="s">
        <v>31</v>
      </c>
      <c r="S23" t="s">
        <v>30</v>
      </c>
      <c r="T23" t="s">
        <v>32</v>
      </c>
      <c r="U23" t="s">
        <v>30</v>
      </c>
    </row>
    <row r="24" spans="1:21" x14ac:dyDescent="0.3">
      <c r="A24">
        <v>2025</v>
      </c>
      <c r="B24">
        <v>4</v>
      </c>
      <c r="C24" t="s">
        <v>24</v>
      </c>
      <c r="D24" t="s">
        <v>34</v>
      </c>
      <c r="E24" t="s">
        <v>26</v>
      </c>
      <c r="F24" t="s">
        <v>27</v>
      </c>
      <c r="G24" t="s">
        <v>26</v>
      </c>
      <c r="H24">
        <v>13.5</v>
      </c>
      <c r="I24" t="s">
        <v>28</v>
      </c>
      <c r="J24">
        <v>0</v>
      </c>
      <c r="K24">
        <v>3</v>
      </c>
      <c r="L24">
        <v>0</v>
      </c>
      <c r="M24">
        <v>1</v>
      </c>
      <c r="N24">
        <v>0</v>
      </c>
      <c r="O24">
        <v>4</v>
      </c>
      <c r="P24" t="s">
        <v>29</v>
      </c>
      <c r="R24" t="s">
        <v>35</v>
      </c>
      <c r="S24" t="s">
        <v>30</v>
      </c>
      <c r="T24" t="s">
        <v>36</v>
      </c>
      <c r="U24" t="s">
        <v>30</v>
      </c>
    </row>
    <row r="25" spans="1:21" x14ac:dyDescent="0.3">
      <c r="A25">
        <v>2025</v>
      </c>
      <c r="B25">
        <v>5</v>
      </c>
      <c r="C25" t="s">
        <v>24</v>
      </c>
      <c r="D25" t="s">
        <v>37</v>
      </c>
      <c r="E25" t="s">
        <v>26</v>
      </c>
      <c r="F25" t="s">
        <v>38</v>
      </c>
      <c r="G25" t="s">
        <v>26</v>
      </c>
      <c r="H25">
        <v>13.5</v>
      </c>
      <c r="I25" t="s">
        <v>28</v>
      </c>
      <c r="J25">
        <v>0</v>
      </c>
      <c r="K25">
        <v>1</v>
      </c>
      <c r="L25">
        <v>0</v>
      </c>
      <c r="M25">
        <v>1</v>
      </c>
      <c r="N25">
        <v>0</v>
      </c>
      <c r="O25">
        <v>2</v>
      </c>
      <c r="P25" t="s">
        <v>29</v>
      </c>
      <c r="R25" t="s">
        <v>39</v>
      </c>
      <c r="S25" t="s">
        <v>30</v>
      </c>
      <c r="T25" t="s">
        <v>40</v>
      </c>
      <c r="U25" t="s">
        <v>30</v>
      </c>
    </row>
    <row r="26" spans="1:21" x14ac:dyDescent="0.3">
      <c r="A26">
        <v>2025</v>
      </c>
      <c r="B26">
        <v>6</v>
      </c>
      <c r="C26" t="s">
        <v>24</v>
      </c>
      <c r="D26" t="s">
        <v>41</v>
      </c>
      <c r="E26" t="s">
        <v>26</v>
      </c>
      <c r="F26" t="s">
        <v>27</v>
      </c>
      <c r="G26" t="s">
        <v>26</v>
      </c>
      <c r="H26">
        <v>13.5</v>
      </c>
      <c r="I26" t="s">
        <v>28</v>
      </c>
      <c r="J26">
        <v>0</v>
      </c>
      <c r="K26">
        <v>3</v>
      </c>
      <c r="L26">
        <v>0</v>
      </c>
      <c r="M26">
        <v>1</v>
      </c>
      <c r="N26">
        <v>0</v>
      </c>
      <c r="O26">
        <v>4</v>
      </c>
      <c r="P26" t="s">
        <v>29</v>
      </c>
      <c r="R26" t="s">
        <v>42</v>
      </c>
      <c r="S26" t="s">
        <v>30</v>
      </c>
      <c r="T26" t="s">
        <v>43</v>
      </c>
      <c r="U26" t="s">
        <v>30</v>
      </c>
    </row>
    <row r="27" spans="1:21" x14ac:dyDescent="0.3">
      <c r="A27">
        <v>2025</v>
      </c>
      <c r="B27">
        <v>7</v>
      </c>
      <c r="C27" t="s">
        <v>24</v>
      </c>
      <c r="D27" t="s">
        <v>44</v>
      </c>
      <c r="E27" t="s">
        <v>26</v>
      </c>
      <c r="F27" t="s">
        <v>27</v>
      </c>
      <c r="G27" t="s">
        <v>26</v>
      </c>
      <c r="H27">
        <v>13.5</v>
      </c>
      <c r="I27" t="s">
        <v>28</v>
      </c>
      <c r="J27">
        <v>0</v>
      </c>
      <c r="K27">
        <v>3</v>
      </c>
      <c r="L27">
        <v>0</v>
      </c>
      <c r="M27">
        <v>1</v>
      </c>
      <c r="N27">
        <v>0</v>
      </c>
      <c r="O27">
        <v>4</v>
      </c>
      <c r="P27" t="s">
        <v>29</v>
      </c>
      <c r="R27" t="s">
        <v>45</v>
      </c>
      <c r="S27" t="s">
        <v>30</v>
      </c>
      <c r="T27" t="s">
        <v>46</v>
      </c>
      <c r="U27" t="s">
        <v>30</v>
      </c>
    </row>
    <row r="28" spans="1:21" x14ac:dyDescent="0.3">
      <c r="A28">
        <v>2025</v>
      </c>
      <c r="B28">
        <v>8</v>
      </c>
      <c r="C28" t="s">
        <v>24</v>
      </c>
      <c r="D28" t="s">
        <v>47</v>
      </c>
      <c r="E28" t="s">
        <v>26</v>
      </c>
      <c r="F28" t="s">
        <v>27</v>
      </c>
      <c r="G28" t="s">
        <v>26</v>
      </c>
      <c r="H28">
        <v>13.5</v>
      </c>
      <c r="I28" t="s">
        <v>28</v>
      </c>
      <c r="J28">
        <v>0</v>
      </c>
      <c r="K28">
        <v>3</v>
      </c>
      <c r="L28">
        <v>0</v>
      </c>
      <c r="M28">
        <v>1</v>
      </c>
      <c r="N28">
        <v>0</v>
      </c>
      <c r="O28">
        <v>4</v>
      </c>
      <c r="P28" t="s">
        <v>29</v>
      </c>
      <c r="R28" t="s">
        <v>48</v>
      </c>
      <c r="S28" t="s">
        <v>30</v>
      </c>
      <c r="T28" t="s">
        <v>49</v>
      </c>
      <c r="U28" t="s">
        <v>30</v>
      </c>
    </row>
    <row r="29" spans="1:21" x14ac:dyDescent="0.3">
      <c r="A29">
        <v>2025</v>
      </c>
      <c r="B29">
        <v>9</v>
      </c>
      <c r="C29" t="s">
        <v>24</v>
      </c>
      <c r="D29" t="s">
        <v>50</v>
      </c>
      <c r="E29" t="s">
        <v>26</v>
      </c>
      <c r="F29" t="s">
        <v>27</v>
      </c>
      <c r="G29" t="s">
        <v>26</v>
      </c>
      <c r="H29">
        <v>13.5</v>
      </c>
      <c r="I29" t="s">
        <v>28</v>
      </c>
      <c r="J29">
        <v>0</v>
      </c>
      <c r="K29">
        <v>3</v>
      </c>
      <c r="L29">
        <v>0</v>
      </c>
      <c r="M29">
        <v>1</v>
      </c>
      <c r="N29">
        <v>0</v>
      </c>
      <c r="O29">
        <v>4</v>
      </c>
      <c r="P29" t="s">
        <v>29</v>
      </c>
      <c r="Q29" t="s">
        <v>51</v>
      </c>
      <c r="R29" t="s">
        <v>52</v>
      </c>
      <c r="S29" t="s">
        <v>30</v>
      </c>
      <c r="T29" t="s">
        <v>53</v>
      </c>
      <c r="U29" t="s">
        <v>30</v>
      </c>
    </row>
    <row r="30" spans="1:21" x14ac:dyDescent="0.3">
      <c r="A30">
        <v>2025</v>
      </c>
      <c r="B30">
        <v>10</v>
      </c>
      <c r="C30" t="s">
        <v>24</v>
      </c>
      <c r="D30" t="s">
        <v>54</v>
      </c>
      <c r="E30" t="s">
        <v>26</v>
      </c>
      <c r="F30" t="s">
        <v>27</v>
      </c>
      <c r="G30" t="s">
        <v>26</v>
      </c>
      <c r="H30">
        <v>13.5</v>
      </c>
      <c r="I30" t="s">
        <v>28</v>
      </c>
      <c r="J30">
        <v>0</v>
      </c>
      <c r="K30">
        <v>3</v>
      </c>
      <c r="L30">
        <v>0</v>
      </c>
      <c r="M30">
        <v>1</v>
      </c>
      <c r="N30">
        <v>0</v>
      </c>
      <c r="O30">
        <v>4</v>
      </c>
      <c r="P30" t="s">
        <v>29</v>
      </c>
      <c r="R30" t="s">
        <v>55</v>
      </c>
      <c r="S30" t="s">
        <v>30</v>
      </c>
      <c r="T30" t="s">
        <v>56</v>
      </c>
      <c r="U30" t="s">
        <v>30</v>
      </c>
    </row>
    <row r="31" spans="1:21" x14ac:dyDescent="0.3">
      <c r="A31">
        <v>2025</v>
      </c>
      <c r="B31">
        <v>11</v>
      </c>
      <c r="C31" t="s">
        <v>24</v>
      </c>
      <c r="D31" t="s">
        <v>57</v>
      </c>
      <c r="E31" t="s">
        <v>26</v>
      </c>
      <c r="F31" t="s">
        <v>27</v>
      </c>
      <c r="G31" t="s">
        <v>26</v>
      </c>
      <c r="H31">
        <v>13.5</v>
      </c>
      <c r="I31" t="s">
        <v>28</v>
      </c>
      <c r="J31">
        <v>0</v>
      </c>
      <c r="K31">
        <v>3</v>
      </c>
      <c r="L31">
        <v>0</v>
      </c>
      <c r="M31">
        <v>1</v>
      </c>
      <c r="N31">
        <v>0</v>
      </c>
      <c r="O31">
        <v>4</v>
      </c>
      <c r="P31" t="s">
        <v>29</v>
      </c>
      <c r="R31" t="s">
        <v>58</v>
      </c>
      <c r="S31" t="s">
        <v>30</v>
      </c>
      <c r="T31" t="s">
        <v>59</v>
      </c>
      <c r="U31" t="s">
        <v>30</v>
      </c>
    </row>
    <row r="32" spans="1:21" x14ac:dyDescent="0.3">
      <c r="A32">
        <v>2025</v>
      </c>
      <c r="B32">
        <v>12</v>
      </c>
      <c r="C32" t="s">
        <v>24</v>
      </c>
      <c r="D32" t="s">
        <v>60</v>
      </c>
      <c r="E32" t="s">
        <v>26</v>
      </c>
      <c r="F32" t="s">
        <v>27</v>
      </c>
      <c r="G32" t="s">
        <v>26</v>
      </c>
      <c r="H32">
        <v>13.5</v>
      </c>
      <c r="I32" t="s">
        <v>28</v>
      </c>
      <c r="J32">
        <v>0</v>
      </c>
      <c r="K32">
        <v>3</v>
      </c>
      <c r="L32">
        <v>0</v>
      </c>
      <c r="M32">
        <v>1</v>
      </c>
      <c r="N32">
        <v>0</v>
      </c>
      <c r="O32">
        <v>4</v>
      </c>
      <c r="P32" t="s">
        <v>29</v>
      </c>
      <c r="R32" t="s">
        <v>61</v>
      </c>
      <c r="S32" t="s">
        <v>30</v>
      </c>
      <c r="T32" t="s">
        <v>62</v>
      </c>
      <c r="U32" t="s">
        <v>30</v>
      </c>
    </row>
    <row r="33" spans="1:21" x14ac:dyDescent="0.3">
      <c r="A33">
        <v>2025</v>
      </c>
      <c r="B33">
        <v>13</v>
      </c>
      <c r="C33" t="s">
        <v>24</v>
      </c>
      <c r="D33" t="s">
        <v>63</v>
      </c>
      <c r="E33" t="s">
        <v>26</v>
      </c>
      <c r="F33" t="s">
        <v>27</v>
      </c>
      <c r="G33" t="s">
        <v>26</v>
      </c>
      <c r="H33">
        <v>13.5</v>
      </c>
      <c r="I33" t="s">
        <v>28</v>
      </c>
      <c r="J33">
        <v>0</v>
      </c>
      <c r="K33">
        <v>3</v>
      </c>
      <c r="L33">
        <v>0</v>
      </c>
      <c r="M33">
        <v>1</v>
      </c>
      <c r="N33">
        <v>0</v>
      </c>
      <c r="O33">
        <v>4</v>
      </c>
      <c r="P33" t="s">
        <v>29</v>
      </c>
      <c r="R33" t="s">
        <v>64</v>
      </c>
      <c r="S33" t="s">
        <v>30</v>
      </c>
      <c r="T33" t="s">
        <v>65</v>
      </c>
      <c r="U33" t="s">
        <v>30</v>
      </c>
    </row>
    <row r="34" spans="1:21" x14ac:dyDescent="0.3">
      <c r="A34">
        <v>2025</v>
      </c>
      <c r="B34">
        <v>14</v>
      </c>
      <c r="C34" t="s">
        <v>24</v>
      </c>
      <c r="D34" t="s">
        <v>66</v>
      </c>
      <c r="E34" t="s">
        <v>26</v>
      </c>
      <c r="F34" t="s">
        <v>38</v>
      </c>
      <c r="G34" t="s">
        <v>26</v>
      </c>
      <c r="H34">
        <v>13.5</v>
      </c>
      <c r="I34" t="s">
        <v>28</v>
      </c>
      <c r="J34">
        <v>0</v>
      </c>
      <c r="K34">
        <v>1</v>
      </c>
      <c r="L34">
        <v>0</v>
      </c>
      <c r="M34">
        <v>1</v>
      </c>
      <c r="N34">
        <v>0</v>
      </c>
      <c r="O34">
        <v>2</v>
      </c>
      <c r="P34" t="s">
        <v>29</v>
      </c>
      <c r="R34" t="s">
        <v>67</v>
      </c>
      <c r="S34" t="s">
        <v>30</v>
      </c>
      <c r="T34" t="s">
        <v>68</v>
      </c>
      <c r="U34" t="s">
        <v>30</v>
      </c>
    </row>
    <row r="35" spans="1:21" x14ac:dyDescent="0.3">
      <c r="A35">
        <v>2025</v>
      </c>
      <c r="B35">
        <v>15</v>
      </c>
      <c r="C35" t="s">
        <v>24</v>
      </c>
      <c r="D35" t="s">
        <v>69</v>
      </c>
      <c r="E35" t="s">
        <v>26</v>
      </c>
      <c r="F35" t="s">
        <v>27</v>
      </c>
      <c r="G35" t="s">
        <v>26</v>
      </c>
      <c r="H35">
        <v>13.5</v>
      </c>
      <c r="I35" t="s">
        <v>28</v>
      </c>
      <c r="J35">
        <v>0</v>
      </c>
      <c r="K35">
        <v>3</v>
      </c>
      <c r="L35">
        <v>0</v>
      </c>
      <c r="M35">
        <v>1</v>
      </c>
      <c r="N35">
        <v>0</v>
      </c>
      <c r="O35">
        <v>4</v>
      </c>
      <c r="P35" t="s">
        <v>29</v>
      </c>
      <c r="R35" t="s">
        <v>67</v>
      </c>
      <c r="S35" t="s">
        <v>30</v>
      </c>
      <c r="T35" t="s">
        <v>70</v>
      </c>
      <c r="U35" t="s">
        <v>30</v>
      </c>
    </row>
    <row r="36" spans="1:21" x14ac:dyDescent="0.3">
      <c r="A36">
        <v>2025</v>
      </c>
      <c r="B36">
        <v>16</v>
      </c>
      <c r="C36" t="s">
        <v>24</v>
      </c>
      <c r="D36" t="s">
        <v>71</v>
      </c>
      <c r="E36" t="s">
        <v>26</v>
      </c>
      <c r="F36" t="s">
        <v>27</v>
      </c>
      <c r="G36" t="s">
        <v>26</v>
      </c>
      <c r="H36">
        <v>13.5</v>
      </c>
      <c r="I36" t="s">
        <v>28</v>
      </c>
      <c r="J36">
        <v>0</v>
      </c>
      <c r="K36">
        <v>3</v>
      </c>
      <c r="L36">
        <v>0</v>
      </c>
      <c r="M36">
        <v>1</v>
      </c>
      <c r="N36">
        <v>0</v>
      </c>
      <c r="O36">
        <v>4</v>
      </c>
      <c r="P36" t="s">
        <v>29</v>
      </c>
      <c r="R36" t="s">
        <v>72</v>
      </c>
      <c r="S36" t="s">
        <v>30</v>
      </c>
      <c r="T36" t="s">
        <v>73</v>
      </c>
      <c r="U36" t="s">
        <v>30</v>
      </c>
    </row>
    <row r="37" spans="1:21" x14ac:dyDescent="0.3">
      <c r="A37">
        <v>2025</v>
      </c>
      <c r="B37">
        <v>17</v>
      </c>
      <c r="C37" t="s">
        <v>24</v>
      </c>
      <c r="D37" t="s">
        <v>74</v>
      </c>
      <c r="E37" t="s">
        <v>26</v>
      </c>
      <c r="F37" t="s">
        <v>27</v>
      </c>
      <c r="G37" t="s">
        <v>26</v>
      </c>
      <c r="H37">
        <v>13.5</v>
      </c>
      <c r="I37" t="s">
        <v>28</v>
      </c>
      <c r="J37">
        <v>0</v>
      </c>
      <c r="K37">
        <v>3</v>
      </c>
      <c r="L37">
        <v>0</v>
      </c>
      <c r="M37">
        <v>1</v>
      </c>
      <c r="N37">
        <v>0</v>
      </c>
      <c r="O37">
        <v>4</v>
      </c>
      <c r="P37" t="s">
        <v>29</v>
      </c>
      <c r="R37" t="s">
        <v>75</v>
      </c>
      <c r="T37" t="s">
        <v>76</v>
      </c>
    </row>
    <row r="38" spans="1:21" x14ac:dyDescent="0.3">
      <c r="A38">
        <v>2025</v>
      </c>
      <c r="B38">
        <v>18</v>
      </c>
      <c r="C38" t="s">
        <v>24</v>
      </c>
      <c r="D38" t="s">
        <v>77</v>
      </c>
      <c r="E38" t="s">
        <v>26</v>
      </c>
      <c r="F38" t="s">
        <v>27</v>
      </c>
      <c r="G38" t="s">
        <v>26</v>
      </c>
      <c r="H38">
        <v>13.5</v>
      </c>
      <c r="I38" t="s">
        <v>28</v>
      </c>
      <c r="J38">
        <v>0</v>
      </c>
      <c r="K38">
        <v>3</v>
      </c>
      <c r="L38">
        <v>0</v>
      </c>
      <c r="M38">
        <v>1</v>
      </c>
      <c r="N38">
        <v>0</v>
      </c>
      <c r="O38">
        <v>4</v>
      </c>
      <c r="P38" t="s">
        <v>29</v>
      </c>
      <c r="R38" t="s">
        <v>78</v>
      </c>
      <c r="T38" t="s">
        <v>79</v>
      </c>
    </row>
  </sheetData>
  <phoneticPr fontId="3" type="noConversion"/>
  <pageMargins left="0.7" right="0.7" top="0.75" bottom="0.75" header="0.3" footer="0.3"/>
  <ignoredErrors>
    <ignoredError sqref="E1:U1 B3:U4 E2:U2 C8:G20 C5:G5 I5 I6:I20 C6:G6 C7:G7 P5:U5 P6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5D4B-C2D8-403D-A685-A4F47BB62FB1}">
  <sheetPr>
    <pageSetUpPr fitToPage="1"/>
  </sheetPr>
  <dimension ref="A2:S24"/>
  <sheetViews>
    <sheetView view="pageBreakPreview" zoomScaleNormal="100" zoomScaleSheetLayoutView="100" workbookViewId="0">
      <selection activeCell="E13" sqref="E13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130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4" t="s">
        <v>131</v>
      </c>
      <c r="B4" s="13"/>
      <c r="C4" s="14" t="s">
        <v>132</v>
      </c>
      <c r="D4" s="13"/>
      <c r="E4" s="14" t="s">
        <v>133</v>
      </c>
      <c r="F4" s="13"/>
      <c r="G4" s="14" t="s">
        <v>134</v>
      </c>
      <c r="H4" s="12"/>
      <c r="I4" s="13"/>
      <c r="J4" s="14" t="s">
        <v>135</v>
      </c>
      <c r="K4" s="12"/>
      <c r="L4" s="13"/>
      <c r="M4" s="14" t="s">
        <v>136</v>
      </c>
      <c r="N4" s="12"/>
      <c r="O4" s="12"/>
      <c r="P4" s="13"/>
    </row>
    <row r="5" spans="1:19" x14ac:dyDescent="0.3">
      <c r="A5" s="14" t="s">
        <v>137</v>
      </c>
      <c r="B5" s="13"/>
      <c r="C5" s="14" t="str">
        <f>RawData!C2</f>
        <v>강남구</v>
      </c>
      <c r="D5" s="13"/>
      <c r="E5" s="14" t="s">
        <v>138</v>
      </c>
      <c r="F5" s="13"/>
      <c r="G5" s="14" t="s">
        <v>139</v>
      </c>
      <c r="H5" s="12"/>
      <c r="I5" s="13"/>
      <c r="J5" s="14" t="str">
        <f>RawData!B2</f>
        <v>신분당선㈜</v>
      </c>
      <c r="K5" s="12"/>
      <c r="L5" s="13"/>
      <c r="M5" s="14" t="s">
        <v>140</v>
      </c>
      <c r="N5" s="12"/>
      <c r="O5" s="12"/>
      <c r="P5" s="13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9" t="s">
        <v>4</v>
      </c>
      <c r="B7" s="9" t="s">
        <v>5</v>
      </c>
      <c r="C7" s="9" t="s">
        <v>6</v>
      </c>
      <c r="D7" s="11" t="s">
        <v>141</v>
      </c>
      <c r="E7" s="12"/>
      <c r="F7" s="12"/>
      <c r="G7" s="12"/>
      <c r="H7" s="13"/>
      <c r="I7" s="11" t="s">
        <v>142</v>
      </c>
      <c r="J7" s="12"/>
      <c r="K7" s="12"/>
      <c r="L7" s="12"/>
      <c r="M7" s="13"/>
      <c r="N7" s="9" t="s">
        <v>17</v>
      </c>
      <c r="O7" s="9" t="s">
        <v>18</v>
      </c>
      <c r="P7" s="9" t="s">
        <v>143</v>
      </c>
    </row>
    <row r="8" spans="1:19" s="5" customFormat="1" ht="24.75" customHeight="1" x14ac:dyDescent="0.3">
      <c r="A8" s="10"/>
      <c r="B8" s="10"/>
      <c r="C8" s="10"/>
      <c r="D8" s="4" t="s">
        <v>7</v>
      </c>
      <c r="E8" s="4" t="s">
        <v>8</v>
      </c>
      <c r="F8" s="4" t="s">
        <v>9</v>
      </c>
      <c r="G8" s="4" t="s">
        <v>10</v>
      </c>
      <c r="H8" s="4" t="s">
        <v>144</v>
      </c>
      <c r="I8" s="4" t="s">
        <v>145</v>
      </c>
      <c r="J8" s="4" t="s">
        <v>8</v>
      </c>
      <c r="K8" s="4" t="s">
        <v>9</v>
      </c>
      <c r="L8" s="4" t="s">
        <v>146</v>
      </c>
      <c r="M8" s="4" t="s">
        <v>16</v>
      </c>
      <c r="N8" s="10"/>
      <c r="O8" s="10"/>
      <c r="P8" s="10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강남대로</v>
      </c>
      <c r="C9" s="6" t="str">
        <f>RawData!D5</f>
        <v>26-강남구-01</v>
      </c>
      <c r="D9" s="6" t="str">
        <f>RawData!E5</f>
        <v>양호</v>
      </c>
      <c r="E9" s="6" t="str">
        <f>RawData!F5</f>
        <v>거북등</v>
      </c>
      <c r="F9" s="6" t="str">
        <f>RawData!G5</f>
        <v>양호</v>
      </c>
      <c r="G9" s="6">
        <f>RawData!H5</f>
        <v>14.5</v>
      </c>
      <c r="H9" s="6" t="str">
        <f>RawData!I5</f>
        <v>-</v>
      </c>
      <c r="I9" s="6">
        <f>IF(D9="양호",0,IF(D9="보통",3,IF(D9="불량",9)))</f>
        <v>0</v>
      </c>
      <c r="J9" s="6">
        <f t="shared" ref="J9:J24" si="0">IF(E9="거북등",3,IF(RIGHT(E9,2)="균열",1,IF(E9="-",0)))</f>
        <v>3</v>
      </c>
      <c r="K9" s="6">
        <f t="shared" ref="K9:K24" si="1">IF(F9="유출",9,IF(F9="습윤",1,IF(F9="양호",0,IF(F9="건조",0))))</f>
        <v>0</v>
      </c>
      <c r="L9" s="6">
        <f>IF(G9&gt;=30,2,IF(G9&gt;=10,1,0))</f>
        <v>1</v>
      </c>
      <c r="M9" s="6">
        <f t="shared" ref="M9:M24" si="2">IF(H9="-",0,1)</f>
        <v>0</v>
      </c>
      <c r="N9" s="6">
        <f t="shared" ref="N9:N24" si="3">SUM(I9:M9)</f>
        <v>4</v>
      </c>
      <c r="O9" s="6" t="str">
        <f t="shared" ref="O9:O24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RawData!C6</f>
        <v>강남대로</v>
      </c>
      <c r="C10" s="6" t="str">
        <f>RawData!D6</f>
        <v>26-강남구-02</v>
      </c>
      <c r="D10" s="6" t="str">
        <f>RawData!E6</f>
        <v>양호</v>
      </c>
      <c r="E10" s="6" t="str">
        <f>RawData!F6</f>
        <v>거북등</v>
      </c>
      <c r="F10" s="6" t="str">
        <f>RawData!G6</f>
        <v>양호</v>
      </c>
      <c r="G10" s="6">
        <f>RawData!H6</f>
        <v>14.5</v>
      </c>
      <c r="H10" s="6" t="str">
        <f>RawData!I6</f>
        <v>-</v>
      </c>
      <c r="I10" s="6">
        <f t="shared" ref="I10:I24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24" si="6">IF(G10&gt;=30,2,IF(G10&gt;=10,1,0))</f>
        <v>1</v>
      </c>
      <c r="M10" s="6">
        <f t="shared" si="2"/>
        <v>0</v>
      </c>
      <c r="N10" s="6">
        <f t="shared" si="3"/>
        <v>4</v>
      </c>
      <c r="O10" s="6" t="str">
        <f t="shared" si="4"/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RawData!C7</f>
        <v>강남대로</v>
      </c>
      <c r="C11" s="6" t="str">
        <f>RawData!D7</f>
        <v>26-강남구-03</v>
      </c>
      <c r="D11" s="6" t="str">
        <f>RawData!E7</f>
        <v>양호</v>
      </c>
      <c r="E11" s="6" t="str">
        <f>RawData!F7</f>
        <v>거북등</v>
      </c>
      <c r="F11" s="6" t="str">
        <f>RawData!G7</f>
        <v>양호</v>
      </c>
      <c r="G11" s="6">
        <f>RawData!H7</f>
        <v>14.5</v>
      </c>
      <c r="H11" s="6" t="str">
        <f>RawData!I7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4</v>
      </c>
      <c r="O11" s="6" t="str">
        <f t="shared" si="4"/>
        <v>일반</v>
      </c>
      <c r="P11" s="7" t="str">
        <f>RawData!Q7</f>
        <v>-</v>
      </c>
    </row>
    <row r="12" spans="1:19" x14ac:dyDescent="0.3">
      <c r="A12" s="6" t="str">
        <f>RIGHT(RawData!B8,2)</f>
        <v>4</v>
      </c>
      <c r="B12" s="6" t="str">
        <f>RawData!C8</f>
        <v>강남대로</v>
      </c>
      <c r="C12" s="6" t="str">
        <f>RawData!D8</f>
        <v>26-강남구-04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14.5</v>
      </c>
      <c r="H12" s="6" t="str">
        <f>RawData!I8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RawData!C9</f>
        <v>강남대로</v>
      </c>
      <c r="C13" s="6" t="str">
        <f>RawData!D9</f>
        <v>26-강남구-05</v>
      </c>
      <c r="D13" s="6" t="str">
        <f>RawData!E9</f>
        <v>양호</v>
      </c>
      <c r="E13" s="6" t="str">
        <f>RawData!F9</f>
        <v>거북등</v>
      </c>
      <c r="F13" s="6" t="str">
        <f>RawData!G9</f>
        <v>양호</v>
      </c>
      <c r="G13" s="6">
        <f>RawData!H9</f>
        <v>14.5</v>
      </c>
      <c r="H13" s="6" t="str">
        <f>RawData!I9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4</v>
      </c>
      <c r="O13" s="6" t="str">
        <f t="shared" si="4"/>
        <v>일반</v>
      </c>
      <c r="P13" s="7" t="str">
        <f>RawData!Q9</f>
        <v>-</v>
      </c>
    </row>
    <row r="14" spans="1:19" x14ac:dyDescent="0.3">
      <c r="A14" s="6" t="str">
        <f>RIGHT(RawData!B10,2)</f>
        <v>6</v>
      </c>
      <c r="B14" s="6" t="str">
        <f>RawData!C10</f>
        <v>강남대로</v>
      </c>
      <c r="C14" s="6" t="str">
        <f>RawData!D10</f>
        <v>26-강남구-06</v>
      </c>
      <c r="D14" s="6" t="str">
        <f>RawData!E10</f>
        <v>양호</v>
      </c>
      <c r="E14" s="6" t="str">
        <f>RawData!F10</f>
        <v>거북등</v>
      </c>
      <c r="F14" s="6" t="str">
        <f>RawData!G10</f>
        <v>양호</v>
      </c>
      <c r="G14" s="6">
        <f>RawData!H10</f>
        <v>14.5</v>
      </c>
      <c r="H14" s="6" t="str">
        <f>RawData!I10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4</v>
      </c>
      <c r="O14" s="6" t="str">
        <f t="shared" si="4"/>
        <v>일반</v>
      </c>
      <c r="P14" s="7" t="str">
        <f>RawData!Q10</f>
        <v>5cm미만 침하</v>
      </c>
    </row>
    <row r="15" spans="1:19" x14ac:dyDescent="0.3">
      <c r="A15" s="6" t="str">
        <f>RIGHT(RawData!B11,2)</f>
        <v>7</v>
      </c>
      <c r="B15" s="6" t="str">
        <f>RawData!C11</f>
        <v>강남대로</v>
      </c>
      <c r="C15" s="6" t="str">
        <f>RawData!D11</f>
        <v>26-강남구-07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14.5</v>
      </c>
      <c r="H15" s="6" t="str">
        <f>RawData!I11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RawData!Q11</f>
        <v>-</v>
      </c>
    </row>
    <row r="16" spans="1:19" x14ac:dyDescent="0.3">
      <c r="A16" s="6" t="str">
        <f>RIGHT(RawData!B12,2)</f>
        <v>8</v>
      </c>
      <c r="B16" s="6" t="str">
        <f>RawData!C12</f>
        <v>강남대로</v>
      </c>
      <c r="C16" s="6" t="str">
        <f>RawData!D12</f>
        <v>26-강남구-08</v>
      </c>
      <c r="D16" s="6" t="str">
        <f>RawData!E12</f>
        <v>양호</v>
      </c>
      <c r="E16" s="6" t="str">
        <f>RawData!F12</f>
        <v>거북등</v>
      </c>
      <c r="F16" s="6" t="str">
        <f>RawData!G12</f>
        <v>양호</v>
      </c>
      <c r="G16" s="6">
        <f>RawData!H12</f>
        <v>14.5</v>
      </c>
      <c r="H16" s="6" t="str">
        <f>RawData!I12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RawData!Q12</f>
        <v>-</v>
      </c>
    </row>
    <row r="17" spans="1:16" x14ac:dyDescent="0.3">
      <c r="A17" s="6" t="str">
        <f>RIGHT(RawData!B13,2)</f>
        <v>9</v>
      </c>
      <c r="B17" s="6" t="str">
        <f>RawData!C13</f>
        <v>강남대로</v>
      </c>
      <c r="C17" s="6" t="str">
        <f>RawData!D13</f>
        <v>26-강남구-09</v>
      </c>
      <c r="D17" s="6" t="str">
        <f>RawData!E13</f>
        <v>양호</v>
      </c>
      <c r="E17" s="6" t="str">
        <f>RawData!F13</f>
        <v>거북등</v>
      </c>
      <c r="F17" s="6" t="str">
        <f>RawData!G13</f>
        <v>양호</v>
      </c>
      <c r="G17" s="6">
        <f>RawData!H13</f>
        <v>14.5</v>
      </c>
      <c r="H17" s="6" t="str">
        <f>RawData!I13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4</v>
      </c>
      <c r="O17" s="6" t="str">
        <f t="shared" si="4"/>
        <v>일반</v>
      </c>
      <c r="P17" s="7" t="str">
        <f>RawData!Q13</f>
        <v>-</v>
      </c>
    </row>
    <row r="18" spans="1:16" x14ac:dyDescent="0.3">
      <c r="A18" s="6" t="str">
        <f>RIGHT(RawData!B14,2)</f>
        <v>10</v>
      </c>
      <c r="B18" s="6" t="str">
        <f>RawData!C14</f>
        <v>강남대로</v>
      </c>
      <c r="C18" s="6" t="str">
        <f>RawData!D14</f>
        <v>26-강남구-10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14.5</v>
      </c>
      <c r="H18" s="6" t="str">
        <f>RawData!I14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RawData!C15</f>
        <v>강남대로</v>
      </c>
      <c r="C19" s="6" t="str">
        <f>RawData!D15</f>
        <v>26-강남구-11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14.5</v>
      </c>
      <c r="H19" s="6" t="str">
        <f>RawData!I15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RawData!Q15</f>
        <v>-</v>
      </c>
    </row>
    <row r="20" spans="1:16" x14ac:dyDescent="0.3">
      <c r="A20" s="6" t="str">
        <f>RIGHT(RawData!B16,2)</f>
        <v>12</v>
      </c>
      <c r="B20" s="6" t="str">
        <f>RawData!C16</f>
        <v>강남대로</v>
      </c>
      <c r="C20" s="6" t="str">
        <f>RawData!D16</f>
        <v>26-강남구-12</v>
      </c>
      <c r="D20" s="6" t="str">
        <f>RawData!E16</f>
        <v>양호</v>
      </c>
      <c r="E20" s="6" t="str">
        <f>RawData!F16</f>
        <v>거북등</v>
      </c>
      <c r="F20" s="6" t="str">
        <f>RawData!G16</f>
        <v>양호</v>
      </c>
      <c r="G20" s="6">
        <f>RawData!H16</f>
        <v>14.5</v>
      </c>
      <c r="H20" s="6" t="str">
        <f>RawData!I16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4</v>
      </c>
      <c r="O20" s="6" t="str">
        <f t="shared" si="4"/>
        <v>일반</v>
      </c>
      <c r="P20" s="7" t="str">
        <f>RawData!Q16</f>
        <v>-</v>
      </c>
    </row>
    <row r="21" spans="1:16" x14ac:dyDescent="0.3">
      <c r="A21" s="6" t="str">
        <f>RIGHT(RawData!B17,2)</f>
        <v>13</v>
      </c>
      <c r="B21" s="6" t="str">
        <f>RawData!C17</f>
        <v>강남대로</v>
      </c>
      <c r="C21" s="6" t="str">
        <f>RawData!D17</f>
        <v>26-강남구-13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14.5</v>
      </c>
      <c r="H21" s="6" t="str">
        <f>RawData!I17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RawData!Q17</f>
        <v>-</v>
      </c>
    </row>
    <row r="22" spans="1:16" x14ac:dyDescent="0.3">
      <c r="A22" s="6" t="str">
        <f>RIGHT(RawData!B18,2)</f>
        <v>14</v>
      </c>
      <c r="B22" s="6" t="str">
        <f>RawData!C18</f>
        <v>강남대로</v>
      </c>
      <c r="C22" s="6" t="str">
        <f>RawData!D18</f>
        <v>26-강남구-14</v>
      </c>
      <c r="D22" s="6" t="str">
        <f>RawData!E18</f>
        <v>양호</v>
      </c>
      <c r="E22" s="6" t="str">
        <f>RawData!F18</f>
        <v>거북등</v>
      </c>
      <c r="F22" s="6" t="str">
        <f>RawData!G18</f>
        <v>양호</v>
      </c>
      <c r="G22" s="6">
        <f>RawData!H18</f>
        <v>14.5</v>
      </c>
      <c r="H22" s="6" t="str">
        <f>RawData!I18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4</v>
      </c>
      <c r="O22" s="6" t="str">
        <f t="shared" si="4"/>
        <v>일반</v>
      </c>
      <c r="P22" s="7" t="str">
        <f>RawData!Q18</f>
        <v>-</v>
      </c>
    </row>
    <row r="23" spans="1:16" x14ac:dyDescent="0.3">
      <c r="A23" s="6" t="str">
        <f>RIGHT(RawData!B19,2)</f>
        <v>15</v>
      </c>
      <c r="B23" s="6" t="str">
        <f>RawData!C19</f>
        <v>강남대로</v>
      </c>
      <c r="C23" s="6" t="str">
        <f>RawData!D19</f>
        <v>26-강남구-15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14.5</v>
      </c>
      <c r="H23" s="6" t="str">
        <f>RawData!I19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RawData!Q19</f>
        <v>-</v>
      </c>
    </row>
    <row r="24" spans="1:16" x14ac:dyDescent="0.3">
      <c r="A24" s="6" t="str">
        <f>RIGHT(RawData!B20,2)</f>
        <v>16</v>
      </c>
      <c r="B24" s="6" t="str">
        <f>RawData!C20</f>
        <v>강남대로</v>
      </c>
      <c r="C24" s="6" t="str">
        <f>RawData!D20</f>
        <v>26-강남구-16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14.5</v>
      </c>
      <c r="H24" s="6" t="str">
        <f>RawData!I20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RawData!Q20</f>
        <v>-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2026-06-11T06:30:08Z</dcterms:modified>
</cp:coreProperties>
</file>