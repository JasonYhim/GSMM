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esktop\GSMM\excel\"/>
    </mc:Choice>
  </mc:AlternateContent>
  <xr:revisionPtr revIDLastSave="0" documentId="13_ncr:1_{6FA649CC-EC82-4850-A288-B3DF4FCA5964}" xr6:coauthVersionLast="47" xr6:coauthVersionMax="47" xr10:uidLastSave="{00000000-0000-0000-0000-000000000000}"/>
  <bookViews>
    <workbookView xWindow="22932" yWindow="-96" windowWidth="23256" windowHeight="13176" xr2:uid="{C8C56E29-CC29-4090-9EC3-CE5E55150469}"/>
  </bookViews>
  <sheets>
    <sheet name="RawData" sheetId="1" r:id="rId1"/>
    <sheet name="V1" sheetId="4" r:id="rId2"/>
    <sheet name="V2" sheetId="3" r:id="rId3"/>
    <sheet name="범례" sheetId="2" r:id="rId4"/>
  </sheets>
  <definedNames>
    <definedName name="_xlnm.Print_Area" localSheetId="1">'V1'!$A$1:$C$22</definedName>
    <definedName name="_xlnm.Print_Area" localSheetId="2">'V2'!$A$1:$P$30</definedName>
    <definedName name="_xlnm.Print_Titles" localSheetId="1">'V1'!$4:$4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7" i="1" l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6" i="1"/>
  <c r="C6" i="4" l="1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5" i="4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9" i="3"/>
  <c r="M26" i="3"/>
  <c r="L26" i="3"/>
  <c r="K26" i="3"/>
  <c r="J26" i="3"/>
  <c r="I26" i="3"/>
  <c r="N26" i="3" s="1"/>
  <c r="O26" i="3" s="1"/>
  <c r="N25" i="3"/>
  <c r="O25" i="3" s="1"/>
  <c r="M25" i="3"/>
  <c r="L25" i="3"/>
  <c r="K25" i="3"/>
  <c r="J25" i="3"/>
  <c r="I25" i="3"/>
  <c r="M24" i="3"/>
  <c r="L24" i="3"/>
  <c r="K24" i="3"/>
  <c r="J24" i="3"/>
  <c r="I24" i="3"/>
  <c r="N24" i="3" s="1"/>
  <c r="O24" i="3" s="1"/>
  <c r="M23" i="3"/>
  <c r="L23" i="3"/>
  <c r="K23" i="3"/>
  <c r="J23" i="3"/>
  <c r="I23" i="3"/>
  <c r="M22" i="3"/>
  <c r="L22" i="3"/>
  <c r="K22" i="3"/>
  <c r="J22" i="3"/>
  <c r="I22" i="3"/>
  <c r="M21" i="3"/>
  <c r="L21" i="3"/>
  <c r="K21" i="3"/>
  <c r="J21" i="3"/>
  <c r="I21" i="3"/>
  <c r="M20" i="3"/>
  <c r="L20" i="3"/>
  <c r="K20" i="3"/>
  <c r="J20" i="3"/>
  <c r="I20" i="3"/>
  <c r="N20" i="3" s="1"/>
  <c r="O20" i="3" s="1"/>
  <c r="M19" i="3"/>
  <c r="L19" i="3"/>
  <c r="K19" i="3"/>
  <c r="J19" i="3"/>
  <c r="I19" i="3"/>
  <c r="M18" i="3"/>
  <c r="L18" i="3"/>
  <c r="K18" i="3"/>
  <c r="J18" i="3"/>
  <c r="I18" i="3"/>
  <c r="M17" i="3"/>
  <c r="L17" i="3"/>
  <c r="K17" i="3"/>
  <c r="J17" i="3"/>
  <c r="I17" i="3"/>
  <c r="N17" i="3" s="1"/>
  <c r="O17" i="3" s="1"/>
  <c r="M16" i="3"/>
  <c r="L16" i="3"/>
  <c r="K16" i="3"/>
  <c r="J16" i="3"/>
  <c r="I16" i="3"/>
  <c r="M15" i="3"/>
  <c r="L15" i="3"/>
  <c r="K15" i="3"/>
  <c r="J15" i="3"/>
  <c r="I15" i="3"/>
  <c r="N15" i="3" s="1"/>
  <c r="O15" i="3" s="1"/>
  <c r="M14" i="3"/>
  <c r="L14" i="3"/>
  <c r="K14" i="3"/>
  <c r="J14" i="3"/>
  <c r="I14" i="3"/>
  <c r="N14" i="3" s="1"/>
  <c r="O14" i="3" s="1"/>
  <c r="M13" i="3"/>
  <c r="L13" i="3"/>
  <c r="K13" i="3"/>
  <c r="J13" i="3"/>
  <c r="I13" i="3"/>
  <c r="M12" i="3"/>
  <c r="L12" i="3"/>
  <c r="K12" i="3"/>
  <c r="J12" i="3"/>
  <c r="I12" i="3"/>
  <c r="N12" i="3" s="1"/>
  <c r="O12" i="3" s="1"/>
  <c r="M11" i="3"/>
  <c r="L11" i="3"/>
  <c r="K11" i="3"/>
  <c r="J11" i="3"/>
  <c r="I11" i="3"/>
  <c r="M10" i="3"/>
  <c r="L10" i="3"/>
  <c r="K10" i="3"/>
  <c r="J10" i="3"/>
  <c r="I10" i="3"/>
  <c r="M9" i="3"/>
  <c r="L9" i="3"/>
  <c r="K9" i="3"/>
  <c r="J9" i="3"/>
  <c r="I9" i="3"/>
  <c r="O21" i="1"/>
  <c r="O22" i="1"/>
  <c r="O23" i="1"/>
  <c r="N6" i="1"/>
  <c r="O6" i="1" s="1"/>
  <c r="N10" i="1"/>
  <c r="O10" i="1" s="1"/>
  <c r="N15" i="1"/>
  <c r="O15" i="1" s="1"/>
  <c r="N16" i="1"/>
  <c r="O16" i="1" s="1"/>
  <c r="N17" i="1"/>
  <c r="O17" i="1" s="1"/>
  <c r="N18" i="1"/>
  <c r="O18" i="1" s="1"/>
  <c r="N23" i="1"/>
  <c r="N19" i="1"/>
  <c r="O19" i="1" s="1"/>
  <c r="N11" i="1"/>
  <c r="O11" i="1" s="1"/>
  <c r="N12" i="1"/>
  <c r="O12" i="1" s="1"/>
  <c r="N13" i="1"/>
  <c r="O13" i="1" s="1"/>
  <c r="N14" i="1"/>
  <c r="O14" i="1" s="1"/>
  <c r="N7" i="1"/>
  <c r="O7" i="1" s="1"/>
  <c r="N8" i="1"/>
  <c r="O8" i="1" s="1"/>
  <c r="N9" i="1"/>
  <c r="O9" i="1" s="1"/>
  <c r="N20" i="1"/>
  <c r="O20" i="1" s="1"/>
  <c r="N21" i="1"/>
  <c r="N22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6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6" i="1"/>
  <c r="N10" i="3" l="1"/>
  <c r="O10" i="3" s="1"/>
  <c r="N22" i="3"/>
  <c r="O22" i="3" s="1"/>
  <c r="N18" i="3"/>
  <c r="O18" i="3" s="1"/>
  <c r="N16" i="3"/>
  <c r="O16" i="3" s="1"/>
  <c r="N19" i="3"/>
  <c r="O19" i="3" s="1"/>
  <c r="N13" i="3"/>
  <c r="O13" i="3" s="1"/>
  <c r="N11" i="3"/>
  <c r="O11" i="3" s="1"/>
  <c r="N23" i="3"/>
  <c r="O23" i="3" s="1"/>
  <c r="N9" i="3"/>
  <c r="O9" i="3" s="1"/>
  <c r="N21" i="3"/>
  <c r="O21" i="3" s="1"/>
</calcChain>
</file>

<file path=xl/sharedStrings.xml><?xml version="1.0" encoding="utf-8"?>
<sst xmlns="http://schemas.openxmlformats.org/spreadsheetml/2006/main" count="312" uniqueCount="102">
  <si>
    <t>시행년도</t>
    <phoneticPr fontId="1" type="noConversion"/>
  </si>
  <si>
    <t>시행사 구분</t>
    <phoneticPr fontId="1" type="noConversion"/>
  </si>
  <si>
    <t>신분당</t>
    <phoneticPr fontId="1" type="noConversion"/>
  </si>
  <si>
    <t>경기철도</t>
    <phoneticPr fontId="1" type="noConversion"/>
  </si>
  <si>
    <t>새서울철도</t>
    <phoneticPr fontId="1" type="noConversion"/>
  </si>
  <si>
    <t>권역구 구분</t>
    <phoneticPr fontId="1" type="noConversion"/>
  </si>
  <si>
    <t>강남구</t>
    <phoneticPr fontId="1" type="noConversion"/>
  </si>
  <si>
    <t>서초구</t>
    <phoneticPr fontId="1" type="noConversion"/>
  </si>
  <si>
    <t>성남시</t>
    <phoneticPr fontId="1" type="noConversion"/>
  </si>
  <si>
    <t>용인시</t>
    <phoneticPr fontId="1" type="noConversion"/>
  </si>
  <si>
    <t>수원시</t>
    <phoneticPr fontId="1" type="noConversion"/>
  </si>
  <si>
    <t>순번</t>
    <phoneticPr fontId="1" type="noConversion"/>
  </si>
  <si>
    <t>조사측선명</t>
    <phoneticPr fontId="1" type="noConversion"/>
  </si>
  <si>
    <t>손상구분번호</t>
    <phoneticPr fontId="1" type="noConversion"/>
  </si>
  <si>
    <t>침하</t>
    <phoneticPr fontId="1" type="noConversion"/>
  </si>
  <si>
    <t>균열</t>
    <phoneticPr fontId="1" type="noConversion"/>
  </si>
  <si>
    <t>습윤</t>
    <phoneticPr fontId="1" type="noConversion"/>
  </si>
  <si>
    <t>노후도(년)</t>
    <phoneticPr fontId="1" type="noConversion"/>
  </si>
  <si>
    <t>지반침하 발생 등의 이력(1년 이내)</t>
    <phoneticPr fontId="1" type="noConversion"/>
  </si>
  <si>
    <t>노후도</t>
    <phoneticPr fontId="1" type="noConversion"/>
  </si>
  <si>
    <t>보수보강이력</t>
    <phoneticPr fontId="1" type="noConversion"/>
  </si>
  <si>
    <t>평가점수</t>
    <phoneticPr fontId="1" type="noConversion"/>
  </si>
  <si>
    <t>평가등급</t>
    <phoneticPr fontId="1" type="noConversion"/>
  </si>
  <si>
    <t>조사자 의견</t>
    <phoneticPr fontId="1" type="noConversion"/>
  </si>
  <si>
    <t>조사 위치도</t>
    <phoneticPr fontId="1" type="noConversion"/>
  </si>
  <si>
    <t>지반침하 등의 발생이력</t>
    <phoneticPr fontId="1" type="noConversion"/>
  </si>
  <si>
    <t>양호</t>
    <phoneticPr fontId="1" type="noConversion"/>
  </si>
  <si>
    <t>보통</t>
    <phoneticPr fontId="1" type="noConversion"/>
  </si>
  <si>
    <t>불량</t>
    <phoneticPr fontId="1" type="noConversion"/>
  </si>
  <si>
    <t>1~3</t>
    <phoneticPr fontId="1" type="noConversion"/>
  </si>
  <si>
    <t>3~5</t>
    <phoneticPr fontId="1" type="noConversion"/>
  </si>
  <si>
    <t>6~8</t>
    <phoneticPr fontId="1" type="noConversion"/>
  </si>
  <si>
    <t>9 이상</t>
    <phoneticPr fontId="1" type="noConversion"/>
  </si>
  <si>
    <t>총 점수</t>
    <phoneticPr fontId="1" type="noConversion"/>
  </si>
  <si>
    <t>일반</t>
    <phoneticPr fontId="1" type="noConversion"/>
  </si>
  <si>
    <t>우선</t>
    <phoneticPr fontId="1" type="noConversion"/>
  </si>
  <si>
    <t>긴급</t>
    <phoneticPr fontId="1" type="noConversion"/>
  </si>
  <si>
    <t>비고</t>
    <phoneticPr fontId="1" type="noConversion"/>
  </si>
  <si>
    <t>-</t>
    <phoneticPr fontId="1" type="noConversion"/>
  </si>
  <si>
    <t>육안조사서 작성</t>
    <phoneticPr fontId="1" type="noConversion"/>
  </si>
  <si>
    <t>강남대로</t>
    <phoneticPr fontId="1" type="noConversion"/>
  </si>
  <si>
    <t>거북등</t>
    <phoneticPr fontId="1" type="noConversion"/>
  </si>
  <si>
    <t>침하(mm)</t>
    <phoneticPr fontId="1" type="noConversion"/>
  </si>
  <si>
    <t>종균열</t>
    <phoneticPr fontId="1" type="noConversion"/>
  </si>
  <si>
    <t>5cm이하 침하</t>
    <phoneticPr fontId="1" type="noConversion"/>
  </si>
  <si>
    <t>역삼동 858</t>
    <phoneticPr fontId="1" type="noConversion"/>
  </si>
  <si>
    <t>인접지번주소(도로명주소)</t>
    <phoneticPr fontId="1" type="noConversion"/>
  </si>
  <si>
    <t>역삼동 826</t>
    <phoneticPr fontId="1" type="noConversion"/>
  </si>
  <si>
    <t>역삼동 831</t>
    <phoneticPr fontId="1" type="noConversion"/>
  </si>
  <si>
    <t>강남역 교차로 도로</t>
    <phoneticPr fontId="1" type="noConversion"/>
  </si>
  <si>
    <t>올리브영 강남중앙점 도로</t>
    <phoneticPr fontId="1" type="noConversion"/>
  </si>
  <si>
    <t>혜천빌딩 앞 도로</t>
    <phoneticPr fontId="1" type="noConversion"/>
  </si>
  <si>
    <t>스케일타워 앞 도로</t>
    <phoneticPr fontId="1" type="noConversion"/>
  </si>
  <si>
    <t>○ 육안조사 결과표</t>
    <phoneticPr fontId="1" type="noConversion"/>
  </si>
  <si>
    <t>광역시도명</t>
    <phoneticPr fontId="1" type="noConversion"/>
  </si>
  <si>
    <t>서울시</t>
    <phoneticPr fontId="1" type="noConversion"/>
  </si>
  <si>
    <t>서군구명</t>
    <phoneticPr fontId="1" type="noConversion"/>
  </si>
  <si>
    <t>대상시설명</t>
    <phoneticPr fontId="1" type="noConversion"/>
  </si>
  <si>
    <t>신분당선</t>
    <phoneticPr fontId="1" type="noConversion"/>
  </si>
  <si>
    <t>조사기간</t>
    <phoneticPr fontId="1" type="noConversion"/>
  </si>
  <si>
    <t>2025-03-17~2025-05-31</t>
    <phoneticPr fontId="1" type="noConversion"/>
  </si>
  <si>
    <t>조사결과</t>
    <phoneticPr fontId="1" type="noConversion"/>
  </si>
  <si>
    <t>평가항목별 점수</t>
    <phoneticPr fontId="1" type="noConversion"/>
  </si>
  <si>
    <t>기술참여자 명단 참조</t>
    <phoneticPr fontId="1" type="noConversion"/>
  </si>
  <si>
    <t>조사자</t>
    <phoneticPr fontId="1" type="noConversion"/>
  </si>
  <si>
    <t>시설물관리자</t>
    <phoneticPr fontId="1" type="noConversion"/>
  </si>
  <si>
    <r>
      <t>지반침하 발생 등의 이력</t>
    </r>
    <r>
      <rPr>
        <vertAlign val="superscript"/>
        <sz val="9"/>
        <color theme="1"/>
        <rFont val="HY헤드라인M"/>
        <family val="1"/>
        <charset val="129"/>
      </rPr>
      <t>1)</t>
    </r>
    <r>
      <rPr>
        <sz val="9"/>
        <color theme="1"/>
        <rFont val="HY헤드라인M"/>
        <family val="1"/>
        <charset val="129"/>
      </rPr>
      <t xml:space="preserve"> (1년 이내)</t>
    </r>
    <phoneticPr fontId="1" type="noConversion"/>
  </si>
  <si>
    <r>
      <rPr>
        <vertAlign val="superscript"/>
        <sz val="9"/>
        <color theme="1"/>
        <rFont val="HY헤드라인M"/>
        <family val="1"/>
        <charset val="129"/>
      </rPr>
      <t>1)</t>
    </r>
    <r>
      <rPr>
        <sz val="9"/>
        <color theme="1"/>
        <rFont val="HY헤드라인M"/>
        <family val="1"/>
        <charset val="129"/>
      </rPr>
      <t xml:space="preserve"> 최근 1년 이내 지반침하 및 공동발생 또는 지하시설물 손상, 파손 등으로 인한 보수·보강 이력</t>
    </r>
    <phoneticPr fontId="1" type="noConversion"/>
  </si>
  <si>
    <t>손상구간번호(평가등급)</t>
    <phoneticPr fontId="1" type="noConversion"/>
  </si>
  <si>
    <t>지번 주소
(도로명 주소)</t>
    <phoneticPr fontId="1" type="noConversion"/>
  </si>
  <si>
    <t>○ 2025년 등급별 손상구간 상세위치</t>
    <phoneticPr fontId="1" type="noConversion"/>
  </si>
  <si>
    <t>역삼동 831-18</t>
    <phoneticPr fontId="1" type="noConversion"/>
  </si>
  <si>
    <t>역삼빌딩 앞 도로</t>
    <phoneticPr fontId="1" type="noConversion"/>
  </si>
  <si>
    <t>우성아파트 앞 사거리 도로</t>
    <phoneticPr fontId="1" type="noConversion"/>
  </si>
  <si>
    <t>역삼동832-2 알 도로</t>
    <phoneticPr fontId="1" type="noConversion"/>
  </si>
  <si>
    <t>역삼동 832-2</t>
    <phoneticPr fontId="1" type="noConversion"/>
  </si>
  <si>
    <t>역삼동 832</t>
    <phoneticPr fontId="1" type="noConversion"/>
  </si>
  <si>
    <t>역삼동 837</t>
    <phoneticPr fontId="1" type="noConversion"/>
  </si>
  <si>
    <t>라온약국 앞 도로</t>
    <phoneticPr fontId="1" type="noConversion"/>
  </si>
  <si>
    <t>역삼동 837-11</t>
    <phoneticPr fontId="1" type="noConversion"/>
  </si>
  <si>
    <t>유니온센터 주차장 입구 앞 도로</t>
    <phoneticPr fontId="1" type="noConversion"/>
  </si>
  <si>
    <t>우리은행 앞 도로</t>
    <phoneticPr fontId="1" type="noConversion"/>
  </si>
  <si>
    <t>역삼동 837-36</t>
    <phoneticPr fontId="1" type="noConversion"/>
  </si>
  <si>
    <t>부영빌딩 앞 도로</t>
    <phoneticPr fontId="1" type="noConversion"/>
  </si>
  <si>
    <t>도곡동 946</t>
    <phoneticPr fontId="1" type="noConversion"/>
  </si>
  <si>
    <t>도곡동 949</t>
    <phoneticPr fontId="1" type="noConversion"/>
  </si>
  <si>
    <t>도곡동 949-3</t>
    <phoneticPr fontId="1" type="noConversion"/>
  </si>
  <si>
    <t>캠코양재타워 주차장 앞 도로</t>
    <phoneticPr fontId="1" type="noConversion"/>
  </si>
  <si>
    <t>메디움강남 요양병원 앞 도로</t>
    <phoneticPr fontId="1" type="noConversion"/>
  </si>
  <si>
    <t>한국자산관리공사 앞 도로</t>
    <phoneticPr fontId="1" type="noConversion"/>
  </si>
  <si>
    <t>도루코본사 앞 도로</t>
    <phoneticPr fontId="1" type="noConversion"/>
  </si>
  <si>
    <t>도곡동 952-6</t>
    <phoneticPr fontId="1" type="noConversion"/>
  </si>
  <si>
    <t>강남 현안과의원 앞 도로</t>
    <phoneticPr fontId="1" type="noConversion"/>
  </si>
  <si>
    <t>도곡동 953</t>
    <phoneticPr fontId="1" type="noConversion"/>
  </si>
  <si>
    <t>양재역 #3번 출구 앞 도로</t>
    <phoneticPr fontId="1" type="noConversion"/>
  </si>
  <si>
    <t>부가정보 1</t>
    <phoneticPr fontId="1" type="noConversion"/>
  </si>
  <si>
    <t>부가정보 2</t>
    <phoneticPr fontId="1" type="noConversion"/>
  </si>
  <si>
    <t>22년 발생 첫조사
'23년 아스콘 보수(패칭)
'25년 아스콘 재보수(패칭)</t>
    <phoneticPr fontId="1" type="noConversion"/>
  </si>
  <si>
    <t>강남대로 350</t>
    <phoneticPr fontId="1" type="noConversion"/>
  </si>
  <si>
    <t>도곡동 958-34</t>
    <phoneticPr fontId="1" type="noConversion"/>
  </si>
  <si>
    <t>뱅뱅사거리 도로</t>
    <phoneticPr fontId="1" type="noConversion"/>
  </si>
  <si>
    <t>역삼동 838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</si>
</sst>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color theme="1"/>
      <name val="HY헤드라인M"/>
      <family val="1"/>
      <charset val="129"/>
    </font>
    <font>
      <sz val="9"/>
      <color theme="1"/>
      <name val="HY헤드라인M"/>
      <family val="1"/>
      <charset val="129"/>
    </font>
    <font>
      <b/>
      <sz val="11"/>
      <color theme="1"/>
      <name val="HY헤드라인M"/>
      <family val="1"/>
      <charset val="129"/>
    </font>
    <font>
      <vertAlign val="superscript"/>
      <sz val="9"/>
      <color theme="1"/>
      <name val="HY헤드라인M"/>
      <family val="1"/>
      <charset val="129"/>
    </font>
  </fonts>
  <fills count="3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4" fillId="0" borderId="0" xfId="0" applyFont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6" fillId="0" borderId="0" xfId="0" applyFont="1">
      <alignment vertical="center"/>
    </xf>
    <xf numFmtId="0" fontId="5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0" fillId="0" borderId="1" xfId="0" applyBorder="1">
      <alignment vertical="center"/>
    </xf>
    <xf numFmtId="0" fontId="3" fillId="0" borderId="1" xfId="0" quotePrefix="1" applyFont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gif"/><Relationship Id="rId3" Type="http://schemas.openxmlformats.org/officeDocument/2006/relationships/image" Target="../media/image3.png"/><Relationship Id="rId7" Type="http://schemas.openxmlformats.org/officeDocument/2006/relationships/image" Target="../media/image7.gif"/><Relationship Id="rId12" Type="http://schemas.openxmlformats.org/officeDocument/2006/relationships/image" Target="../media/image12.gif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gif"/><Relationship Id="rId5" Type="http://schemas.openxmlformats.org/officeDocument/2006/relationships/image" Target="../media/image5.gif"/><Relationship Id="rId15" Type="http://schemas.openxmlformats.org/officeDocument/2006/relationships/image" Target="../media/image15.png"/><Relationship Id="rId10" Type="http://schemas.openxmlformats.org/officeDocument/2006/relationships/image" Target="../media/image10.gif"/><Relationship Id="rId4" Type="http://schemas.openxmlformats.org/officeDocument/2006/relationships/image" Target="../media/image4.png"/><Relationship Id="rId9" Type="http://schemas.openxmlformats.org/officeDocument/2006/relationships/image" Target="../media/image9.gif"/><Relationship Id="rId14" Type="http://schemas.openxmlformats.org/officeDocument/2006/relationships/image" Target="../media/image14.gif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gif"/><Relationship Id="rId3" Type="http://schemas.openxmlformats.org/officeDocument/2006/relationships/image" Target="../media/image3.png"/><Relationship Id="rId7" Type="http://schemas.openxmlformats.org/officeDocument/2006/relationships/image" Target="../media/image7.gif"/><Relationship Id="rId12" Type="http://schemas.openxmlformats.org/officeDocument/2006/relationships/image" Target="../media/image12.gif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gif"/><Relationship Id="rId5" Type="http://schemas.openxmlformats.org/officeDocument/2006/relationships/image" Target="../media/image5.gif"/><Relationship Id="rId15" Type="http://schemas.openxmlformats.org/officeDocument/2006/relationships/image" Target="../media/image15.png"/><Relationship Id="rId10" Type="http://schemas.openxmlformats.org/officeDocument/2006/relationships/image" Target="../media/image10.gif"/><Relationship Id="rId4" Type="http://schemas.openxmlformats.org/officeDocument/2006/relationships/image" Target="../media/image4.png"/><Relationship Id="rId9" Type="http://schemas.openxmlformats.org/officeDocument/2006/relationships/image" Target="../media/image9.gif"/><Relationship Id="rId14" Type="http://schemas.openxmlformats.org/officeDocument/2006/relationships/image" Target="../media/image14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149679</xdr:colOff>
      <xdr:row>5</xdr:row>
      <xdr:rowOff>40822</xdr:rowOff>
    </xdr:from>
    <xdr:to>
      <xdr:col>17</xdr:col>
      <xdr:colOff>2891863</xdr:colOff>
      <xdr:row>5</xdr:row>
      <xdr:rowOff>1633021</xdr:rowOff>
    </xdr:to>
    <xdr:pic>
      <xdr:nvPicPr>
        <xdr:cNvPr id="13" name="Picture 8">
          <a:extLst>
            <a:ext uri="{FF2B5EF4-FFF2-40B4-BE49-F238E27FC236}">
              <a16:creationId xmlns:a16="http://schemas.microsoft.com/office/drawing/2014/main" id="{5144AF35-5B92-8F04-14C7-F8DA2B3BE6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</a:ln>
      </xdr:spPr>
    </xdr:pic>
    <xdr:clientData/>
  </xdr:twoCellAnchor>
  <xdr:twoCellAnchor editAs="oneCell">
    <xdr:from>
      <xdr:col>17</xdr:col>
      <xdr:colOff>149679</xdr:colOff>
      <xdr:row>6</xdr:row>
      <xdr:rowOff>27214</xdr:rowOff>
    </xdr:from>
    <xdr:to>
      <xdr:col>17</xdr:col>
      <xdr:colOff>2891863</xdr:colOff>
      <xdr:row>6</xdr:row>
      <xdr:rowOff>1621318</xdr:rowOff>
    </xdr:to>
    <xdr:pic>
      <xdr:nvPicPr>
        <xdr:cNvPr id="14" name="Picture 10">
          <a:extLst>
            <a:ext uri="{FF2B5EF4-FFF2-40B4-BE49-F238E27FC236}">
              <a16:creationId xmlns:a16="http://schemas.microsoft.com/office/drawing/2014/main" id="{506FE6BF-EE4C-C2D1-43C8-B76072136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66322" y="3918857"/>
          <a:ext cx="2742184" cy="1590294"/>
        </a:xfrm>
        <a:prstGeom prst="rect">
          <a:avLst/>
        </a:prstGeom>
        <a:solidFill>
          <a:srgbClr val="FFFFFF"/>
        </a:solidFill>
        <a:ln>
          <a:noFill/>
        </a:ln>
      </xdr:spPr>
    </xdr:pic>
    <xdr:clientData/>
  </xdr:twoCellAnchor>
  <xdr:twoCellAnchor editAs="oneCell">
    <xdr:from>
      <xdr:col>17</xdr:col>
      <xdr:colOff>122464</xdr:colOff>
      <xdr:row>7</xdr:row>
      <xdr:rowOff>27214</xdr:rowOff>
    </xdr:from>
    <xdr:to>
      <xdr:col>17</xdr:col>
      <xdr:colOff>2862743</xdr:colOff>
      <xdr:row>7</xdr:row>
      <xdr:rowOff>1621318</xdr:rowOff>
    </xdr:to>
    <xdr:pic>
      <xdr:nvPicPr>
        <xdr:cNvPr id="15" name="Picture 12">
          <a:extLst>
            <a:ext uri="{FF2B5EF4-FFF2-40B4-BE49-F238E27FC236}">
              <a16:creationId xmlns:a16="http://schemas.microsoft.com/office/drawing/2014/main" id="{A2165A34-B803-DDDC-E019-6E043E4052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39107" y="5565321"/>
          <a:ext cx="2742184" cy="1590294"/>
        </a:xfrm>
        <a:prstGeom prst="rect">
          <a:avLst/>
        </a:prstGeom>
        <a:solidFill>
          <a:srgbClr val="FFFFFF"/>
        </a:solidFill>
        <a:ln>
          <a:noFill/>
        </a:ln>
      </xdr:spPr>
    </xdr:pic>
    <xdr:clientData/>
  </xdr:twoCellAnchor>
  <xdr:twoCellAnchor editAs="oneCell">
    <xdr:from>
      <xdr:col>17</xdr:col>
      <xdr:colOff>136072</xdr:colOff>
      <xdr:row>8</xdr:row>
      <xdr:rowOff>40821</xdr:rowOff>
    </xdr:from>
    <xdr:to>
      <xdr:col>17</xdr:col>
      <xdr:colOff>2882066</xdr:colOff>
      <xdr:row>8</xdr:row>
      <xdr:rowOff>1633020</xdr:rowOff>
    </xdr:to>
    <xdr:pic>
      <xdr:nvPicPr>
        <xdr:cNvPr id="16" name="Picture 14">
          <a:extLst>
            <a:ext uri="{FF2B5EF4-FFF2-40B4-BE49-F238E27FC236}">
              <a16:creationId xmlns:a16="http://schemas.microsoft.com/office/drawing/2014/main" id="{173398CE-E640-F75C-949A-E47E8B35EE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52715" y="7225392"/>
          <a:ext cx="2742184" cy="1590294"/>
        </a:xfrm>
        <a:prstGeom prst="rect">
          <a:avLst/>
        </a:prstGeom>
        <a:solidFill>
          <a:srgbClr val="FFFFFF"/>
        </a:solidFill>
        <a:ln>
          <a:noFill/>
        </a:ln>
      </xdr:spPr>
    </xdr:pic>
    <xdr:clientData/>
  </xdr:twoCellAnchor>
  <xdr:twoCellAnchor>
    <xdr:from>
      <xdr:col>17</xdr:col>
      <xdr:colOff>136072</xdr:colOff>
      <xdr:row>9</xdr:row>
      <xdr:rowOff>43542</xdr:rowOff>
    </xdr:from>
    <xdr:to>
      <xdr:col>17</xdr:col>
      <xdr:colOff>2879272</xdr:colOff>
      <xdr:row>9</xdr:row>
      <xdr:rowOff>1632857</xdr:rowOff>
    </xdr:to>
    <xdr:pic>
      <xdr:nvPicPr>
        <xdr:cNvPr id="17" name="_x672758280">
          <a:extLst>
            <a:ext uri="{FF2B5EF4-FFF2-40B4-BE49-F238E27FC236}">
              <a16:creationId xmlns:a16="http://schemas.microsoft.com/office/drawing/2014/main" id="{5AB4CE38-900F-FBC8-9826-4FD037308B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52715" y="8874578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17</xdr:col>
      <xdr:colOff>149679</xdr:colOff>
      <xdr:row>10</xdr:row>
      <xdr:rowOff>27214</xdr:rowOff>
    </xdr:from>
    <xdr:to>
      <xdr:col>17</xdr:col>
      <xdr:colOff>2891863</xdr:colOff>
      <xdr:row>10</xdr:row>
      <xdr:rowOff>1621318</xdr:rowOff>
    </xdr:to>
    <xdr:pic>
      <xdr:nvPicPr>
        <xdr:cNvPr id="18" name="Picture 16">
          <a:extLst>
            <a:ext uri="{FF2B5EF4-FFF2-40B4-BE49-F238E27FC236}">
              <a16:creationId xmlns:a16="http://schemas.microsoft.com/office/drawing/2014/main" id="{FFE271D3-074D-43E1-B37D-687A0A9AD0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566322" y="10504714"/>
          <a:ext cx="2742184" cy="1590294"/>
        </a:xfrm>
        <a:prstGeom prst="rect">
          <a:avLst/>
        </a:prstGeom>
        <a:solidFill>
          <a:srgbClr val="FFFFFF"/>
        </a:solidFill>
        <a:ln>
          <a:noFill/>
        </a:ln>
      </xdr:spPr>
    </xdr:pic>
    <xdr:clientData/>
  </xdr:twoCellAnchor>
  <xdr:twoCellAnchor>
    <xdr:from>
      <xdr:col>17</xdr:col>
      <xdr:colOff>149678</xdr:colOff>
      <xdr:row>11</xdr:row>
      <xdr:rowOff>57150</xdr:rowOff>
    </xdr:from>
    <xdr:to>
      <xdr:col>17</xdr:col>
      <xdr:colOff>2892878</xdr:colOff>
      <xdr:row>12</xdr:row>
      <xdr:rowOff>-1</xdr:rowOff>
    </xdr:to>
    <xdr:pic>
      <xdr:nvPicPr>
        <xdr:cNvPr id="20" name="_x679300968">
          <a:extLst>
            <a:ext uri="{FF2B5EF4-FFF2-40B4-BE49-F238E27FC236}">
              <a16:creationId xmlns:a16="http://schemas.microsoft.com/office/drawing/2014/main" id="{E52730D4-2474-3C4D-3242-18AAB70E5F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1" y="12181114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17</xdr:col>
      <xdr:colOff>122465</xdr:colOff>
      <xdr:row>12</xdr:row>
      <xdr:rowOff>40821</xdr:rowOff>
    </xdr:from>
    <xdr:to>
      <xdr:col>17</xdr:col>
      <xdr:colOff>2862744</xdr:colOff>
      <xdr:row>12</xdr:row>
      <xdr:rowOff>1633020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7E9AA8F2-ED34-EB06-CDDE-6B341BEB1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539108" y="13811250"/>
          <a:ext cx="2742184" cy="1590294"/>
        </a:xfrm>
        <a:prstGeom prst="rect">
          <a:avLst/>
        </a:prstGeom>
        <a:solidFill>
          <a:srgbClr val="FFFFFF"/>
        </a:solidFill>
        <a:ln>
          <a:noFill/>
        </a:ln>
      </xdr:spPr>
    </xdr:pic>
    <xdr:clientData/>
  </xdr:twoCellAnchor>
  <xdr:twoCellAnchor>
    <xdr:from>
      <xdr:col>17</xdr:col>
      <xdr:colOff>194582</xdr:colOff>
      <xdr:row>13</xdr:row>
      <xdr:rowOff>43544</xdr:rowOff>
    </xdr:from>
    <xdr:to>
      <xdr:col>17</xdr:col>
      <xdr:colOff>2933700</xdr:colOff>
      <xdr:row>13</xdr:row>
      <xdr:rowOff>1632858</xdr:rowOff>
    </xdr:to>
    <xdr:pic>
      <xdr:nvPicPr>
        <xdr:cNvPr id="22" name="_x672769512">
          <a:extLst>
            <a:ext uri="{FF2B5EF4-FFF2-40B4-BE49-F238E27FC236}">
              <a16:creationId xmlns:a16="http://schemas.microsoft.com/office/drawing/2014/main" id="{3200BDA0-EC44-03EC-9FDE-F321BE9442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1225" y="15460437"/>
          <a:ext cx="2739118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180975</xdr:colOff>
      <xdr:row>14</xdr:row>
      <xdr:rowOff>43543</xdr:rowOff>
    </xdr:from>
    <xdr:to>
      <xdr:col>17</xdr:col>
      <xdr:colOff>2920093</xdr:colOff>
      <xdr:row>14</xdr:row>
      <xdr:rowOff>1632857</xdr:rowOff>
    </xdr:to>
    <xdr:pic>
      <xdr:nvPicPr>
        <xdr:cNvPr id="23" name="_x672789312">
          <a:extLst>
            <a:ext uri="{FF2B5EF4-FFF2-40B4-BE49-F238E27FC236}">
              <a16:creationId xmlns:a16="http://schemas.microsoft.com/office/drawing/2014/main" id="{7854EF4F-8913-196C-184C-EEFF981C74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7618" y="17106900"/>
          <a:ext cx="2739118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112939</xdr:colOff>
      <xdr:row>15</xdr:row>
      <xdr:rowOff>43543</xdr:rowOff>
    </xdr:from>
    <xdr:to>
      <xdr:col>17</xdr:col>
      <xdr:colOff>2852057</xdr:colOff>
      <xdr:row>15</xdr:row>
      <xdr:rowOff>1632857</xdr:rowOff>
    </xdr:to>
    <xdr:pic>
      <xdr:nvPicPr>
        <xdr:cNvPr id="24" name="_x672790752">
          <a:extLst>
            <a:ext uri="{FF2B5EF4-FFF2-40B4-BE49-F238E27FC236}">
              <a16:creationId xmlns:a16="http://schemas.microsoft.com/office/drawing/2014/main" id="{D2B977A9-57D6-BC32-FDEF-6A066AFFCC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9582" y="18753364"/>
          <a:ext cx="2739118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153760</xdr:colOff>
      <xdr:row>16</xdr:row>
      <xdr:rowOff>43542</xdr:rowOff>
    </xdr:from>
    <xdr:to>
      <xdr:col>17</xdr:col>
      <xdr:colOff>2892878</xdr:colOff>
      <xdr:row>16</xdr:row>
      <xdr:rowOff>1632857</xdr:rowOff>
    </xdr:to>
    <xdr:pic>
      <xdr:nvPicPr>
        <xdr:cNvPr id="25" name="_x672790176">
          <a:extLst>
            <a:ext uri="{FF2B5EF4-FFF2-40B4-BE49-F238E27FC236}">
              <a16:creationId xmlns:a16="http://schemas.microsoft.com/office/drawing/2014/main" id="{B3F40BAA-A378-9BEF-AE64-AE89102759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0403" y="20399828"/>
          <a:ext cx="2739118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17</xdr:col>
      <xdr:colOff>163286</xdr:colOff>
      <xdr:row>17</xdr:row>
      <xdr:rowOff>40821</xdr:rowOff>
    </xdr:from>
    <xdr:to>
      <xdr:col>17</xdr:col>
      <xdr:colOff>2903565</xdr:colOff>
      <xdr:row>17</xdr:row>
      <xdr:rowOff>1633020</xdr:rowOff>
    </xdr:to>
    <xdr:pic>
      <xdr:nvPicPr>
        <xdr:cNvPr id="26" name="Picture 22">
          <a:extLst>
            <a:ext uri="{FF2B5EF4-FFF2-40B4-BE49-F238E27FC236}">
              <a16:creationId xmlns:a16="http://schemas.microsoft.com/office/drawing/2014/main" id="{869232EE-223F-BD3D-3CA9-583028EC21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3579929" y="22043571"/>
          <a:ext cx="2742184" cy="1590294"/>
        </a:xfrm>
        <a:prstGeom prst="rect">
          <a:avLst/>
        </a:prstGeom>
        <a:solidFill>
          <a:srgbClr val="FFFFFF"/>
        </a:solidFill>
        <a:ln>
          <a:noFill/>
        </a:ln>
      </xdr:spPr>
    </xdr:pic>
    <xdr:clientData/>
  </xdr:twoCellAnchor>
  <xdr:twoCellAnchor>
    <xdr:from>
      <xdr:col>17</xdr:col>
      <xdr:colOff>153761</xdr:colOff>
      <xdr:row>18</xdr:row>
      <xdr:rowOff>57150</xdr:rowOff>
    </xdr:from>
    <xdr:to>
      <xdr:col>17</xdr:col>
      <xdr:colOff>2892879</xdr:colOff>
      <xdr:row>19</xdr:row>
      <xdr:rowOff>-1</xdr:rowOff>
    </xdr:to>
    <xdr:pic>
      <xdr:nvPicPr>
        <xdr:cNvPr id="27" name="_x818421800">
          <a:extLst>
            <a:ext uri="{FF2B5EF4-FFF2-40B4-BE49-F238E27FC236}">
              <a16:creationId xmlns:a16="http://schemas.microsoft.com/office/drawing/2014/main" id="{44E8B950-FB43-69AB-6C7D-1E39B94399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0404" y="23706364"/>
          <a:ext cx="2739118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17</xdr:col>
      <xdr:colOff>149679</xdr:colOff>
      <xdr:row>19</xdr:row>
      <xdr:rowOff>40821</xdr:rowOff>
    </xdr:from>
    <xdr:to>
      <xdr:col>17</xdr:col>
      <xdr:colOff>2891863</xdr:colOff>
      <xdr:row>19</xdr:row>
      <xdr:rowOff>1633020</xdr:rowOff>
    </xdr:to>
    <xdr:pic>
      <xdr:nvPicPr>
        <xdr:cNvPr id="28" name="Picture 24">
          <a:extLst>
            <a:ext uri="{FF2B5EF4-FFF2-40B4-BE49-F238E27FC236}">
              <a16:creationId xmlns:a16="http://schemas.microsoft.com/office/drawing/2014/main" id="{649D36D3-497B-A2A3-552E-12A6483E81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3566322" y="25336500"/>
          <a:ext cx="2742184" cy="1590294"/>
        </a:xfrm>
        <a:prstGeom prst="rect">
          <a:avLst/>
        </a:prstGeom>
        <a:solidFill>
          <a:srgbClr val="FFFFFF"/>
        </a:solidFill>
        <a:ln>
          <a:noFill/>
        </a:ln>
      </xdr:spPr>
    </xdr:pic>
    <xdr:clientData/>
  </xdr:twoCellAnchor>
  <xdr:twoCellAnchor editAs="oneCell">
    <xdr:from>
      <xdr:col>17</xdr:col>
      <xdr:colOff>176893</xdr:colOff>
      <xdr:row>20</xdr:row>
      <xdr:rowOff>40822</xdr:rowOff>
    </xdr:from>
    <xdr:to>
      <xdr:col>17</xdr:col>
      <xdr:colOff>2922887</xdr:colOff>
      <xdr:row>20</xdr:row>
      <xdr:rowOff>1633021</xdr:rowOff>
    </xdr:to>
    <xdr:pic>
      <xdr:nvPicPr>
        <xdr:cNvPr id="29" name="Picture 26">
          <a:extLst>
            <a:ext uri="{FF2B5EF4-FFF2-40B4-BE49-F238E27FC236}">
              <a16:creationId xmlns:a16="http://schemas.microsoft.com/office/drawing/2014/main" id="{1E573C34-DFAA-8D46-0AF9-6B88599E83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3593536" y="26982965"/>
          <a:ext cx="2742184" cy="1590294"/>
        </a:xfrm>
        <a:prstGeom prst="rect">
          <a:avLst/>
        </a:prstGeom>
        <a:solidFill>
          <a:srgbClr val="FFFFFF"/>
        </a:solidFill>
        <a:ln>
          <a:noFill/>
        </a:ln>
      </xdr:spPr>
    </xdr:pic>
    <xdr:clientData/>
  </xdr:twoCellAnchor>
  <xdr:twoCellAnchor editAs="oneCell">
    <xdr:from>
      <xdr:col>17</xdr:col>
      <xdr:colOff>136071</xdr:colOff>
      <xdr:row>21</xdr:row>
      <xdr:rowOff>27214</xdr:rowOff>
    </xdr:from>
    <xdr:to>
      <xdr:col>17</xdr:col>
      <xdr:colOff>2882065</xdr:colOff>
      <xdr:row>21</xdr:row>
      <xdr:rowOff>1621318</xdr:rowOff>
    </xdr:to>
    <xdr:pic>
      <xdr:nvPicPr>
        <xdr:cNvPr id="30" name="Picture 28">
          <a:extLst>
            <a:ext uri="{FF2B5EF4-FFF2-40B4-BE49-F238E27FC236}">
              <a16:creationId xmlns:a16="http://schemas.microsoft.com/office/drawing/2014/main" id="{A1B6A93C-3F2C-6A5D-03C9-D6904BB48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3552714" y="28615821"/>
          <a:ext cx="2742184" cy="1590294"/>
        </a:xfrm>
        <a:prstGeom prst="rect">
          <a:avLst/>
        </a:prstGeom>
        <a:solidFill>
          <a:srgbClr val="FFFFFF"/>
        </a:solidFill>
        <a:ln>
          <a:noFill/>
        </a:ln>
      </xdr:spPr>
    </xdr:pic>
    <xdr:clientData/>
  </xdr:twoCellAnchor>
  <xdr:twoCellAnchor>
    <xdr:from>
      <xdr:col>17</xdr:col>
      <xdr:colOff>122465</xdr:colOff>
      <xdr:row>22</xdr:row>
      <xdr:rowOff>43543</xdr:rowOff>
    </xdr:from>
    <xdr:to>
      <xdr:col>17</xdr:col>
      <xdr:colOff>2865665</xdr:colOff>
      <xdr:row>22</xdr:row>
      <xdr:rowOff>1632857</xdr:rowOff>
    </xdr:to>
    <xdr:pic>
      <xdr:nvPicPr>
        <xdr:cNvPr id="31" name="_x675753000">
          <a:extLst>
            <a:ext uri="{FF2B5EF4-FFF2-40B4-BE49-F238E27FC236}">
              <a16:creationId xmlns:a16="http://schemas.microsoft.com/office/drawing/2014/main" id="{E30B3864-966E-8999-6AD0-702798040E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39108" y="30278614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149679</xdr:colOff>
      <xdr:row>4</xdr:row>
      <xdr:rowOff>40822</xdr:rowOff>
    </xdr:from>
    <xdr:to>
      <xdr:col>1</xdr:col>
      <xdr:colOff>2891863</xdr:colOff>
      <xdr:row>4</xdr:row>
      <xdr:rowOff>1631116</xdr:rowOff>
    </xdr:to>
    <xdr:pic>
      <xdr:nvPicPr>
        <xdr:cNvPr id="2" name="Picture 8">
          <a:extLst>
            <a:ext uri="{FF2B5EF4-FFF2-40B4-BE49-F238E27FC236}">
              <a16:creationId xmlns:a16="http://schemas.microsoft.com/office/drawing/2014/main" id="{E0175E06-5D4A-4C36-B462-FD6D8E255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89454" y="2298247"/>
          <a:ext cx="2742184" cy="1590294"/>
        </a:xfrm>
        <a:prstGeom prst="rect">
          <a:avLst/>
        </a:prstGeom>
        <a:solidFill>
          <a:srgbClr val="FFFFFF"/>
        </a:solidFill>
        <a:ln>
          <a:noFill/>
        </a:ln>
      </xdr:spPr>
    </xdr:pic>
    <xdr:clientData/>
  </xdr:twoCellAnchor>
  <xdr:twoCellAnchor editAs="oneCell">
    <xdr:from>
      <xdr:col>1</xdr:col>
      <xdr:colOff>149679</xdr:colOff>
      <xdr:row>5</xdr:row>
      <xdr:rowOff>27214</xdr:rowOff>
    </xdr:from>
    <xdr:to>
      <xdr:col>1</xdr:col>
      <xdr:colOff>2891863</xdr:colOff>
      <xdr:row>5</xdr:row>
      <xdr:rowOff>1617508</xdr:rowOff>
    </xdr:to>
    <xdr:pic>
      <xdr:nvPicPr>
        <xdr:cNvPr id="3" name="Picture 10">
          <a:extLst>
            <a:ext uri="{FF2B5EF4-FFF2-40B4-BE49-F238E27FC236}">
              <a16:creationId xmlns:a16="http://schemas.microsoft.com/office/drawing/2014/main" id="{DD428D69-0D5A-4248-9219-21B7495A75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89454" y="3932464"/>
          <a:ext cx="2742184" cy="1590294"/>
        </a:xfrm>
        <a:prstGeom prst="rect">
          <a:avLst/>
        </a:prstGeom>
        <a:solidFill>
          <a:srgbClr val="FFFFFF"/>
        </a:solidFill>
        <a:ln>
          <a:noFill/>
        </a:ln>
      </xdr:spPr>
    </xdr:pic>
    <xdr:clientData/>
  </xdr:twoCellAnchor>
  <xdr:twoCellAnchor editAs="oneCell">
    <xdr:from>
      <xdr:col>1</xdr:col>
      <xdr:colOff>122464</xdr:colOff>
      <xdr:row>6</xdr:row>
      <xdr:rowOff>27214</xdr:rowOff>
    </xdr:from>
    <xdr:to>
      <xdr:col>1</xdr:col>
      <xdr:colOff>2864648</xdr:colOff>
      <xdr:row>6</xdr:row>
      <xdr:rowOff>1617508</xdr:rowOff>
    </xdr:to>
    <xdr:pic>
      <xdr:nvPicPr>
        <xdr:cNvPr id="4" name="Picture 12">
          <a:extLst>
            <a:ext uri="{FF2B5EF4-FFF2-40B4-BE49-F238E27FC236}">
              <a16:creationId xmlns:a16="http://schemas.microsoft.com/office/drawing/2014/main" id="{1B6087C2-4438-4BCA-B552-4A5FFF787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62239" y="5580289"/>
          <a:ext cx="2742184" cy="1590294"/>
        </a:xfrm>
        <a:prstGeom prst="rect">
          <a:avLst/>
        </a:prstGeom>
        <a:solidFill>
          <a:srgbClr val="FFFFFF"/>
        </a:solidFill>
        <a:ln>
          <a:noFill/>
        </a:ln>
      </xdr:spPr>
    </xdr:pic>
    <xdr:clientData/>
  </xdr:twoCellAnchor>
  <xdr:twoCellAnchor editAs="oneCell">
    <xdr:from>
      <xdr:col>1</xdr:col>
      <xdr:colOff>136072</xdr:colOff>
      <xdr:row>7</xdr:row>
      <xdr:rowOff>40821</xdr:rowOff>
    </xdr:from>
    <xdr:to>
      <xdr:col>1</xdr:col>
      <xdr:colOff>2878256</xdr:colOff>
      <xdr:row>7</xdr:row>
      <xdr:rowOff>1631115</xdr:rowOff>
    </xdr:to>
    <xdr:pic>
      <xdr:nvPicPr>
        <xdr:cNvPr id="5" name="Picture 14">
          <a:extLst>
            <a:ext uri="{FF2B5EF4-FFF2-40B4-BE49-F238E27FC236}">
              <a16:creationId xmlns:a16="http://schemas.microsoft.com/office/drawing/2014/main" id="{CD120889-F565-434A-87E1-6F1FE04A2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75847" y="7241721"/>
          <a:ext cx="2742184" cy="1590294"/>
        </a:xfrm>
        <a:prstGeom prst="rect">
          <a:avLst/>
        </a:prstGeom>
        <a:solidFill>
          <a:srgbClr val="FFFFFF"/>
        </a:solidFill>
        <a:ln>
          <a:noFill/>
        </a:ln>
      </xdr:spPr>
    </xdr:pic>
    <xdr:clientData/>
  </xdr:twoCellAnchor>
  <xdr:twoCellAnchor>
    <xdr:from>
      <xdr:col>1</xdr:col>
      <xdr:colOff>136072</xdr:colOff>
      <xdr:row>8</xdr:row>
      <xdr:rowOff>34017</xdr:rowOff>
    </xdr:from>
    <xdr:to>
      <xdr:col>1</xdr:col>
      <xdr:colOff>2879272</xdr:colOff>
      <xdr:row>8</xdr:row>
      <xdr:rowOff>1623332</xdr:rowOff>
    </xdr:to>
    <xdr:pic>
      <xdr:nvPicPr>
        <xdr:cNvPr id="6" name="_x672758280">
          <a:extLst>
            <a:ext uri="{FF2B5EF4-FFF2-40B4-BE49-F238E27FC236}">
              <a16:creationId xmlns:a16="http://schemas.microsoft.com/office/drawing/2014/main" id="{FE7B4F22-74FB-4B88-B946-17DD9AC49E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88572" y="7549242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159204</xdr:colOff>
      <xdr:row>9</xdr:row>
      <xdr:rowOff>36739</xdr:rowOff>
    </xdr:from>
    <xdr:to>
      <xdr:col>1</xdr:col>
      <xdr:colOff>2901388</xdr:colOff>
      <xdr:row>9</xdr:row>
      <xdr:rowOff>1627033</xdr:rowOff>
    </xdr:to>
    <xdr:pic>
      <xdr:nvPicPr>
        <xdr:cNvPr id="7" name="Picture 16">
          <a:extLst>
            <a:ext uri="{FF2B5EF4-FFF2-40B4-BE49-F238E27FC236}">
              <a16:creationId xmlns:a16="http://schemas.microsoft.com/office/drawing/2014/main" id="{79DB601A-F9AC-4ED5-827B-81EDAB2D16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111704" y="9199789"/>
          <a:ext cx="2742184" cy="1590294"/>
        </a:xfrm>
        <a:prstGeom prst="rect">
          <a:avLst/>
        </a:prstGeom>
        <a:solidFill>
          <a:srgbClr val="FFFFFF"/>
        </a:solidFill>
        <a:ln>
          <a:noFill/>
        </a:ln>
      </xdr:spPr>
    </xdr:pic>
    <xdr:clientData/>
  </xdr:twoCellAnchor>
  <xdr:twoCellAnchor>
    <xdr:from>
      <xdr:col>1</xdr:col>
      <xdr:colOff>149678</xdr:colOff>
      <xdr:row>10</xdr:row>
      <xdr:rowOff>38100</xdr:rowOff>
    </xdr:from>
    <xdr:to>
      <xdr:col>1</xdr:col>
      <xdr:colOff>2892878</xdr:colOff>
      <xdr:row>10</xdr:row>
      <xdr:rowOff>1628774</xdr:rowOff>
    </xdr:to>
    <xdr:pic>
      <xdr:nvPicPr>
        <xdr:cNvPr id="8" name="_x679300968">
          <a:extLst>
            <a:ext uri="{FF2B5EF4-FFF2-40B4-BE49-F238E27FC236}">
              <a16:creationId xmlns:a16="http://schemas.microsoft.com/office/drawing/2014/main" id="{FCB8C1D6-D265-4806-8B32-32B062FC6D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2178" y="10848975"/>
          <a:ext cx="2743200" cy="15906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131990</xdr:colOff>
      <xdr:row>11</xdr:row>
      <xdr:rowOff>40821</xdr:rowOff>
    </xdr:from>
    <xdr:to>
      <xdr:col>1</xdr:col>
      <xdr:colOff>2874174</xdr:colOff>
      <xdr:row>11</xdr:row>
      <xdr:rowOff>1631115</xdr:rowOff>
    </xdr:to>
    <xdr:pic>
      <xdr:nvPicPr>
        <xdr:cNvPr id="9" name="Picture 20">
          <a:extLst>
            <a:ext uri="{FF2B5EF4-FFF2-40B4-BE49-F238E27FC236}">
              <a16:creationId xmlns:a16="http://schemas.microsoft.com/office/drawing/2014/main" id="{382B4C0D-67AF-40D8-8F84-315CAC56D5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84490" y="12499521"/>
          <a:ext cx="2742184" cy="1590294"/>
        </a:xfrm>
        <a:prstGeom prst="rect">
          <a:avLst/>
        </a:prstGeom>
        <a:solidFill>
          <a:srgbClr val="FFFFFF"/>
        </a:solidFill>
        <a:ln>
          <a:noFill/>
        </a:ln>
      </xdr:spPr>
    </xdr:pic>
    <xdr:clientData/>
  </xdr:twoCellAnchor>
  <xdr:twoCellAnchor>
    <xdr:from>
      <xdr:col>1</xdr:col>
      <xdr:colOff>146957</xdr:colOff>
      <xdr:row>12</xdr:row>
      <xdr:rowOff>43544</xdr:rowOff>
    </xdr:from>
    <xdr:to>
      <xdr:col>1</xdr:col>
      <xdr:colOff>2886075</xdr:colOff>
      <xdr:row>12</xdr:row>
      <xdr:rowOff>1632858</xdr:rowOff>
    </xdr:to>
    <xdr:pic>
      <xdr:nvPicPr>
        <xdr:cNvPr id="10" name="_x672769512">
          <a:extLst>
            <a:ext uri="{FF2B5EF4-FFF2-40B4-BE49-F238E27FC236}">
              <a16:creationId xmlns:a16="http://schemas.microsoft.com/office/drawing/2014/main" id="{0152FB18-4FBE-435E-9029-7977C52F2C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9457" y="14150069"/>
          <a:ext cx="2739118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142875</xdr:colOff>
      <xdr:row>13</xdr:row>
      <xdr:rowOff>43543</xdr:rowOff>
    </xdr:from>
    <xdr:to>
      <xdr:col>1</xdr:col>
      <xdr:colOff>2881993</xdr:colOff>
      <xdr:row>13</xdr:row>
      <xdr:rowOff>1632857</xdr:rowOff>
    </xdr:to>
    <xdr:pic>
      <xdr:nvPicPr>
        <xdr:cNvPr id="11" name="_x672789312">
          <a:extLst>
            <a:ext uri="{FF2B5EF4-FFF2-40B4-BE49-F238E27FC236}">
              <a16:creationId xmlns:a16="http://schemas.microsoft.com/office/drawing/2014/main" id="{AA2FB51B-9FE8-46F5-8874-E4B4326B45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15797893"/>
          <a:ext cx="2739118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112939</xdr:colOff>
      <xdr:row>14</xdr:row>
      <xdr:rowOff>34018</xdr:rowOff>
    </xdr:from>
    <xdr:to>
      <xdr:col>1</xdr:col>
      <xdr:colOff>2852057</xdr:colOff>
      <xdr:row>14</xdr:row>
      <xdr:rowOff>1623332</xdr:rowOff>
    </xdr:to>
    <xdr:pic>
      <xdr:nvPicPr>
        <xdr:cNvPr id="12" name="_x672790752">
          <a:extLst>
            <a:ext uri="{FF2B5EF4-FFF2-40B4-BE49-F238E27FC236}">
              <a16:creationId xmlns:a16="http://schemas.microsoft.com/office/drawing/2014/main" id="{D419433E-EAB7-43C0-A804-F9644B0053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65439" y="17436193"/>
          <a:ext cx="2739118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134710</xdr:colOff>
      <xdr:row>15</xdr:row>
      <xdr:rowOff>34017</xdr:rowOff>
    </xdr:from>
    <xdr:to>
      <xdr:col>1</xdr:col>
      <xdr:colOff>2873828</xdr:colOff>
      <xdr:row>15</xdr:row>
      <xdr:rowOff>1623332</xdr:rowOff>
    </xdr:to>
    <xdr:pic>
      <xdr:nvPicPr>
        <xdr:cNvPr id="13" name="_x672790176">
          <a:extLst>
            <a:ext uri="{FF2B5EF4-FFF2-40B4-BE49-F238E27FC236}">
              <a16:creationId xmlns:a16="http://schemas.microsoft.com/office/drawing/2014/main" id="{72096ECB-0A39-4A84-BF98-7B1D42D155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87210" y="19084017"/>
          <a:ext cx="2739118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153761</xdr:colOff>
      <xdr:row>16</xdr:row>
      <xdr:rowOff>31296</xdr:rowOff>
    </xdr:from>
    <xdr:to>
      <xdr:col>1</xdr:col>
      <xdr:colOff>2895945</xdr:colOff>
      <xdr:row>16</xdr:row>
      <xdr:rowOff>1621590</xdr:rowOff>
    </xdr:to>
    <xdr:pic>
      <xdr:nvPicPr>
        <xdr:cNvPr id="14" name="Picture 22">
          <a:extLst>
            <a:ext uri="{FF2B5EF4-FFF2-40B4-BE49-F238E27FC236}">
              <a16:creationId xmlns:a16="http://schemas.microsoft.com/office/drawing/2014/main" id="{9C761EC5-0E95-4827-B821-39F39A543F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106261" y="20729121"/>
          <a:ext cx="2742184" cy="1590294"/>
        </a:xfrm>
        <a:prstGeom prst="rect">
          <a:avLst/>
        </a:prstGeom>
        <a:solidFill>
          <a:srgbClr val="FFFFFF"/>
        </a:solidFill>
        <a:ln>
          <a:noFill/>
        </a:ln>
      </xdr:spPr>
    </xdr:pic>
    <xdr:clientData/>
  </xdr:twoCellAnchor>
  <xdr:twoCellAnchor>
    <xdr:from>
      <xdr:col>1</xdr:col>
      <xdr:colOff>134711</xdr:colOff>
      <xdr:row>17</xdr:row>
      <xdr:rowOff>38100</xdr:rowOff>
    </xdr:from>
    <xdr:to>
      <xdr:col>1</xdr:col>
      <xdr:colOff>2873829</xdr:colOff>
      <xdr:row>17</xdr:row>
      <xdr:rowOff>1628774</xdr:rowOff>
    </xdr:to>
    <xdr:pic>
      <xdr:nvPicPr>
        <xdr:cNvPr id="15" name="_x818421800">
          <a:extLst>
            <a:ext uri="{FF2B5EF4-FFF2-40B4-BE49-F238E27FC236}">
              <a16:creationId xmlns:a16="http://schemas.microsoft.com/office/drawing/2014/main" id="{5EF4FD58-4F5D-4228-9253-2FE8C9C9FC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87211" y="22383750"/>
          <a:ext cx="2739118" cy="15906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121104</xdr:colOff>
      <xdr:row>18</xdr:row>
      <xdr:rowOff>31296</xdr:rowOff>
    </xdr:from>
    <xdr:to>
      <xdr:col>1</xdr:col>
      <xdr:colOff>2863288</xdr:colOff>
      <xdr:row>18</xdr:row>
      <xdr:rowOff>1621590</xdr:rowOff>
    </xdr:to>
    <xdr:pic>
      <xdr:nvPicPr>
        <xdr:cNvPr id="16" name="Picture 24">
          <a:extLst>
            <a:ext uri="{FF2B5EF4-FFF2-40B4-BE49-F238E27FC236}">
              <a16:creationId xmlns:a16="http://schemas.microsoft.com/office/drawing/2014/main" id="{67B4922A-928B-40DF-BDD9-FBD2B6FD62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073604" y="24024771"/>
          <a:ext cx="2742184" cy="1590294"/>
        </a:xfrm>
        <a:prstGeom prst="rect">
          <a:avLst/>
        </a:prstGeom>
        <a:solidFill>
          <a:srgbClr val="FFFFFF"/>
        </a:solidFill>
        <a:ln>
          <a:noFill/>
        </a:ln>
      </xdr:spPr>
    </xdr:pic>
    <xdr:clientData/>
  </xdr:twoCellAnchor>
  <xdr:twoCellAnchor editAs="oneCell">
    <xdr:from>
      <xdr:col>1</xdr:col>
      <xdr:colOff>138793</xdr:colOff>
      <xdr:row>19</xdr:row>
      <xdr:rowOff>31297</xdr:rowOff>
    </xdr:from>
    <xdr:to>
      <xdr:col>1</xdr:col>
      <xdr:colOff>2880977</xdr:colOff>
      <xdr:row>19</xdr:row>
      <xdr:rowOff>1621591</xdr:rowOff>
    </xdr:to>
    <xdr:pic>
      <xdr:nvPicPr>
        <xdr:cNvPr id="17" name="Picture 26">
          <a:extLst>
            <a:ext uri="{FF2B5EF4-FFF2-40B4-BE49-F238E27FC236}">
              <a16:creationId xmlns:a16="http://schemas.microsoft.com/office/drawing/2014/main" id="{236A909B-D24E-43A5-850C-84FB9B1800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091293" y="25672597"/>
          <a:ext cx="2742184" cy="1590294"/>
        </a:xfrm>
        <a:prstGeom prst="rect">
          <a:avLst/>
        </a:prstGeom>
        <a:solidFill>
          <a:srgbClr val="FFFFFF"/>
        </a:solidFill>
        <a:ln>
          <a:noFill/>
        </a:ln>
      </xdr:spPr>
    </xdr:pic>
    <xdr:clientData/>
  </xdr:twoCellAnchor>
  <xdr:twoCellAnchor editAs="oneCell">
    <xdr:from>
      <xdr:col>1</xdr:col>
      <xdr:colOff>136071</xdr:colOff>
      <xdr:row>20</xdr:row>
      <xdr:rowOff>36739</xdr:rowOff>
    </xdr:from>
    <xdr:to>
      <xdr:col>1</xdr:col>
      <xdr:colOff>2878255</xdr:colOff>
      <xdr:row>20</xdr:row>
      <xdr:rowOff>1627033</xdr:rowOff>
    </xdr:to>
    <xdr:pic>
      <xdr:nvPicPr>
        <xdr:cNvPr id="18" name="Picture 28">
          <a:extLst>
            <a:ext uri="{FF2B5EF4-FFF2-40B4-BE49-F238E27FC236}">
              <a16:creationId xmlns:a16="http://schemas.microsoft.com/office/drawing/2014/main" id="{0AE30A01-A67A-4A30-BD14-B0BFFE3BB1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088571" y="27325864"/>
          <a:ext cx="2742184" cy="1590294"/>
        </a:xfrm>
        <a:prstGeom prst="rect">
          <a:avLst/>
        </a:prstGeom>
        <a:solidFill>
          <a:srgbClr val="FFFFFF"/>
        </a:solidFill>
        <a:ln>
          <a:noFill/>
        </a:ln>
      </xdr:spPr>
    </xdr:pic>
    <xdr:clientData/>
  </xdr:twoCellAnchor>
  <xdr:twoCellAnchor>
    <xdr:from>
      <xdr:col>1</xdr:col>
      <xdr:colOff>122465</xdr:colOff>
      <xdr:row>21</xdr:row>
      <xdr:rowOff>34018</xdr:rowOff>
    </xdr:from>
    <xdr:to>
      <xdr:col>1</xdr:col>
      <xdr:colOff>2865665</xdr:colOff>
      <xdr:row>21</xdr:row>
      <xdr:rowOff>1623332</xdr:rowOff>
    </xdr:to>
    <xdr:pic>
      <xdr:nvPicPr>
        <xdr:cNvPr id="19" name="_x675753000">
          <a:extLst>
            <a:ext uri="{FF2B5EF4-FFF2-40B4-BE49-F238E27FC236}">
              <a16:creationId xmlns:a16="http://schemas.microsoft.com/office/drawing/2014/main" id="{E214C730-D792-4128-A739-A9DB5A4F1D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74965" y="28970968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3F0CF-FBE8-45AB-B5F2-95EA43BFB5F6}">
  <dimension ref="A1:T23"/>
  <sheetViews>
    <sheetView tabSelected="1" topLeftCell="A14" zoomScale="70" zoomScaleNormal="70" workbookViewId="0">
      <selection activeCell="Q16" sqref="Q16"/>
    </sheetView>
  </sheetViews>
  <sheetFormatPr defaultColWidth="10.375" defaultRowHeight="129.94999999999999" customHeight="1" x14ac:dyDescent="0.3"/>
  <cols>
    <col min="1" max="17" width="10.375" style="2"/>
    <col min="18" max="18" width="39.125" style="2" customWidth="1"/>
    <col min="19" max="19" width="10.375" style="6" customWidth="1"/>
    <col min="20" max="16384" width="10.375" style="2"/>
  </cols>
  <sheetData>
    <row r="1" spans="1:20" ht="12" x14ac:dyDescent="0.3">
      <c r="A1" s="1" t="s">
        <v>0</v>
      </c>
      <c r="B1" s="1" t="s">
        <v>1</v>
      </c>
      <c r="C1" s="1" t="s">
        <v>5</v>
      </c>
    </row>
    <row r="2" spans="1:20" ht="12" x14ac:dyDescent="0.3">
      <c r="A2" s="2">
        <v>2025</v>
      </c>
      <c r="B2" s="2" t="s">
        <v>2</v>
      </c>
      <c r="C2" s="2" t="s">
        <v>6</v>
      </c>
    </row>
    <row r="3" spans="1:20" ht="12" x14ac:dyDescent="0.3"/>
    <row r="4" spans="1:20" ht="12" x14ac:dyDescent="0.3"/>
    <row r="5" spans="1:20" ht="129.94999999999999" customHeight="1" x14ac:dyDescent="0.3">
      <c r="A5" s="4" t="s">
        <v>11</v>
      </c>
      <c r="B5" s="4" t="s">
        <v>12</v>
      </c>
      <c r="C5" s="4" t="s">
        <v>13</v>
      </c>
      <c r="D5" s="4" t="s">
        <v>42</v>
      </c>
      <c r="E5" s="4" t="s">
        <v>15</v>
      </c>
      <c r="F5" s="4" t="s">
        <v>16</v>
      </c>
      <c r="G5" s="4" t="s">
        <v>17</v>
      </c>
      <c r="H5" s="5" t="s">
        <v>18</v>
      </c>
      <c r="I5" s="4" t="s">
        <v>14</v>
      </c>
      <c r="J5" s="4" t="s">
        <v>15</v>
      </c>
      <c r="K5" s="4" t="s">
        <v>16</v>
      </c>
      <c r="L5" s="4" t="s">
        <v>19</v>
      </c>
      <c r="M5" s="4" t="s">
        <v>20</v>
      </c>
      <c r="N5" s="4" t="s">
        <v>21</v>
      </c>
      <c r="O5" s="4" t="s">
        <v>22</v>
      </c>
      <c r="P5" s="4" t="s">
        <v>23</v>
      </c>
      <c r="Q5" s="5" t="s">
        <v>46</v>
      </c>
      <c r="R5" s="4" t="s">
        <v>24</v>
      </c>
      <c r="S5" s="4" t="s">
        <v>95</v>
      </c>
      <c r="T5" s="4" t="s">
        <v>96</v>
      </c>
    </row>
    <row r="6" spans="1:20" ht="129.75" customHeight="1" x14ac:dyDescent="0.3">
      <c r="A6" s="4">
        <v>1</v>
      </c>
      <c r="B6" s="4" t="s">
        <v>40</v>
      </c>
      <c r="C6" s="4" t="str">
        <f>RIGHT($A$2,2)&amp;"-"&amp;$C$2&amp;"-"&amp;A6</f>
        <v>25-강남구-1</v>
      </c>
      <c r="D6" s="4" t="s">
        <v>26</v>
      </c>
      <c r="E6" s="4" t="s">
        <v>41</v>
      </c>
      <c r="F6" s="4" t="s">
        <v>26</v>
      </c>
      <c r="G6" s="4">
        <v>13.5</v>
      </c>
      <c r="H6" s="4" t="s">
        <v>38</v>
      </c>
      <c r="I6" s="4">
        <f>IF(D6="양호",0,IF(D6&gt;=100,9,IF(D6&gt;=50,3,IF(D6&lt;50,0))))</f>
        <v>0</v>
      </c>
      <c r="J6" s="4">
        <f>IF(E6="거북등",3,IF(RIGHT(E6,2)="균열",1,IF(E6="-",0)))</f>
        <v>3</v>
      </c>
      <c r="K6" s="4">
        <f>IF(F6="유출",9,IF(F6="습윤",1,IF(F6="양호",0,IF(F6="건조",0))))</f>
        <v>0</v>
      </c>
      <c r="L6" s="4">
        <f>IF(G6&lt;10,0,IF(G6&lt;30,1,IF(G6&gt;=30,2)))</f>
        <v>1</v>
      </c>
      <c r="M6" s="4">
        <f>IF(H6="-",0,1)</f>
        <v>0</v>
      </c>
      <c r="N6" s="4">
        <f t="shared" ref="N6:N23" si="0">SUM(I6:M6)</f>
        <v>4</v>
      </c>
      <c r="O6" s="4" t="str">
        <f>IF(N6&lt;6,"일반",IF(N6&lt;9,"우선",IF(N6&gt;=9,"긴급")))</f>
        <v>일반</v>
      </c>
      <c r="P6" s="4"/>
      <c r="Q6" s="4" t="s">
        <v>45</v>
      </c>
      <c r="R6" s="4"/>
      <c r="S6" s="5" t="s">
        <v>49</v>
      </c>
      <c r="T6" s="18"/>
    </row>
    <row r="7" spans="1:20" ht="129.94999999999999" customHeight="1" x14ac:dyDescent="0.3">
      <c r="A7" s="4">
        <v>2</v>
      </c>
      <c r="B7" s="4" t="s">
        <v>40</v>
      </c>
      <c r="C7" s="4" t="str">
        <f t="shared" ref="C7:C23" si="1">RIGHT($A$2,2)&amp;"-"&amp;$C$2&amp;"-"&amp;A7</f>
        <v>25-강남구-2</v>
      </c>
      <c r="D7" s="4" t="s">
        <v>26</v>
      </c>
      <c r="E7" s="4" t="s">
        <v>41</v>
      </c>
      <c r="F7" s="4" t="s">
        <v>26</v>
      </c>
      <c r="G7" s="4">
        <v>13.5</v>
      </c>
      <c r="H7" s="4" t="s">
        <v>38</v>
      </c>
      <c r="I7" s="4">
        <f t="shared" ref="I7:I23" si="2">IF(D7="양호",0,IF(D7&gt;=100,9,IF(D7&gt;=50,3,IF(D7&lt;50,0))))</f>
        <v>0</v>
      </c>
      <c r="J7" s="4">
        <f t="shared" ref="J7:J23" si="3">IF(E7="거북등",3,IF(RIGHT(E7,2)="균열",1,IF(E7="-",0)))</f>
        <v>3</v>
      </c>
      <c r="K7" s="4">
        <f t="shared" ref="K7:K23" si="4">IF(F7="유출",9,IF(F7="습윤",1,IF(F7="양호",0,IF(F7="건조",0))))</f>
        <v>0</v>
      </c>
      <c r="L7" s="4">
        <f t="shared" ref="L7:L23" si="5">IF(G7&lt;10,0,IF(G7&lt;30,1,IF(G7&gt;=30,2)))</f>
        <v>1</v>
      </c>
      <c r="M7" s="4">
        <f t="shared" ref="M7:M23" si="6">IF(H7="-",0,1)</f>
        <v>0</v>
      </c>
      <c r="N7" s="4">
        <f t="shared" si="0"/>
        <v>4</v>
      </c>
      <c r="O7" s="4" t="str">
        <f t="shared" ref="O7:O23" si="7">IF(N7&lt;6,"일반",IF(N7&lt;9,"우선",IF(N7&gt;=9,"긴급")))</f>
        <v>일반</v>
      </c>
      <c r="P7" s="4"/>
      <c r="Q7" s="4" t="s">
        <v>47</v>
      </c>
      <c r="R7" s="4"/>
      <c r="S7" s="5" t="s">
        <v>50</v>
      </c>
      <c r="T7" s="18"/>
    </row>
    <row r="8" spans="1:20" ht="129.94999999999999" customHeight="1" x14ac:dyDescent="0.3">
      <c r="A8" s="4">
        <v>3</v>
      </c>
      <c r="B8" s="4" t="s">
        <v>40</v>
      </c>
      <c r="C8" s="4" t="str">
        <f t="shared" si="1"/>
        <v>25-강남구-3</v>
      </c>
      <c r="D8" s="4" t="s">
        <v>26</v>
      </c>
      <c r="E8" s="4" t="s">
        <v>41</v>
      </c>
      <c r="F8" s="4" t="s">
        <v>26</v>
      </c>
      <c r="G8" s="4">
        <v>13.5</v>
      </c>
      <c r="H8" s="4" t="s">
        <v>38</v>
      </c>
      <c r="I8" s="4">
        <f t="shared" si="2"/>
        <v>0</v>
      </c>
      <c r="J8" s="4">
        <f t="shared" si="3"/>
        <v>3</v>
      </c>
      <c r="K8" s="4">
        <f t="shared" si="4"/>
        <v>0</v>
      </c>
      <c r="L8" s="4">
        <f t="shared" si="5"/>
        <v>1</v>
      </c>
      <c r="M8" s="4">
        <f t="shared" si="6"/>
        <v>0</v>
      </c>
      <c r="N8" s="4">
        <f t="shared" si="0"/>
        <v>4</v>
      </c>
      <c r="O8" s="4" t="str">
        <f t="shared" si="7"/>
        <v>일반</v>
      </c>
      <c r="P8" s="4"/>
      <c r="Q8" s="4" t="s">
        <v>48</v>
      </c>
      <c r="R8" s="4"/>
      <c r="S8" s="5" t="s">
        <v>51</v>
      </c>
      <c r="T8" s="20" t="s">
        <v>97</v>
      </c>
    </row>
    <row r="9" spans="1:20" ht="129.94999999999999" customHeight="1" x14ac:dyDescent="0.3">
      <c r="A9" s="4">
        <v>4</v>
      </c>
      <c r="B9" s="4" t="s">
        <v>40</v>
      </c>
      <c r="C9" s="4" t="str">
        <f t="shared" si="1"/>
        <v>25-강남구-4</v>
      </c>
      <c r="D9" s="4" t="s">
        <v>26</v>
      </c>
      <c r="E9" s="4" t="s">
        <v>41</v>
      </c>
      <c r="F9" s="4" t="s">
        <v>26</v>
      </c>
      <c r="G9" s="4">
        <v>13.5</v>
      </c>
      <c r="H9" s="4" t="s">
        <v>38</v>
      </c>
      <c r="I9" s="4">
        <f t="shared" si="2"/>
        <v>0</v>
      </c>
      <c r="J9" s="4">
        <f t="shared" si="3"/>
        <v>3</v>
      </c>
      <c r="K9" s="4">
        <f t="shared" si="4"/>
        <v>0</v>
      </c>
      <c r="L9" s="4">
        <f t="shared" si="5"/>
        <v>1</v>
      </c>
      <c r="M9" s="4">
        <f t="shared" si="6"/>
        <v>0</v>
      </c>
      <c r="N9" s="4">
        <f t="shared" si="0"/>
        <v>4</v>
      </c>
      <c r="O9" s="4" t="str">
        <f t="shared" si="7"/>
        <v>일반</v>
      </c>
      <c r="P9" s="4"/>
      <c r="Q9" s="4" t="s">
        <v>98</v>
      </c>
      <c r="R9" s="4"/>
      <c r="S9" s="5" t="s">
        <v>52</v>
      </c>
      <c r="T9" s="18"/>
    </row>
    <row r="10" spans="1:20" ht="129.94999999999999" customHeight="1" x14ac:dyDescent="0.3">
      <c r="A10" s="4">
        <v>5</v>
      </c>
      <c r="B10" s="4" t="s">
        <v>40</v>
      </c>
      <c r="C10" s="4" t="str">
        <f t="shared" si="1"/>
        <v>25-강남구-5</v>
      </c>
      <c r="D10" s="4" t="s">
        <v>26</v>
      </c>
      <c r="E10" s="4" t="s">
        <v>43</v>
      </c>
      <c r="F10" s="4" t="s">
        <v>26</v>
      </c>
      <c r="G10" s="4">
        <v>13.5</v>
      </c>
      <c r="H10" s="4" t="s">
        <v>38</v>
      </c>
      <c r="I10" s="4">
        <f t="shared" si="2"/>
        <v>0</v>
      </c>
      <c r="J10" s="4">
        <f t="shared" si="3"/>
        <v>1</v>
      </c>
      <c r="K10" s="4">
        <f t="shared" si="4"/>
        <v>0</v>
      </c>
      <c r="L10" s="4">
        <f t="shared" si="5"/>
        <v>1</v>
      </c>
      <c r="M10" s="4">
        <f t="shared" si="6"/>
        <v>0</v>
      </c>
      <c r="N10" s="4">
        <f t="shared" si="0"/>
        <v>2</v>
      </c>
      <c r="O10" s="4" t="str">
        <f t="shared" si="7"/>
        <v>일반</v>
      </c>
      <c r="P10" s="4"/>
      <c r="Q10" s="4" t="s">
        <v>71</v>
      </c>
      <c r="R10" s="19"/>
      <c r="S10" s="5" t="s">
        <v>72</v>
      </c>
      <c r="T10" s="18"/>
    </row>
    <row r="11" spans="1:20" ht="129.94999999999999" customHeight="1" x14ac:dyDescent="0.3">
      <c r="A11" s="4">
        <v>6</v>
      </c>
      <c r="B11" s="4" t="s">
        <v>40</v>
      </c>
      <c r="C11" s="4" t="str">
        <f t="shared" si="1"/>
        <v>25-강남구-6</v>
      </c>
      <c r="D11" s="4" t="s">
        <v>26</v>
      </c>
      <c r="E11" s="4" t="s">
        <v>41</v>
      </c>
      <c r="F11" s="4" t="s">
        <v>26</v>
      </c>
      <c r="G11" s="4">
        <v>13.5</v>
      </c>
      <c r="H11" s="4" t="s">
        <v>38</v>
      </c>
      <c r="I11" s="4">
        <f t="shared" si="2"/>
        <v>0</v>
      </c>
      <c r="J11" s="4">
        <f t="shared" si="3"/>
        <v>3</v>
      </c>
      <c r="K11" s="4">
        <f t="shared" si="4"/>
        <v>0</v>
      </c>
      <c r="L11" s="4">
        <f t="shared" si="5"/>
        <v>1</v>
      </c>
      <c r="M11" s="4">
        <f t="shared" si="6"/>
        <v>0</v>
      </c>
      <c r="N11" s="4">
        <f t="shared" si="0"/>
        <v>4</v>
      </c>
      <c r="O11" s="4" t="str">
        <f t="shared" si="7"/>
        <v>일반</v>
      </c>
      <c r="P11" s="4"/>
      <c r="Q11" s="4" t="s">
        <v>76</v>
      </c>
      <c r="R11" s="4"/>
      <c r="S11" s="5" t="s">
        <v>73</v>
      </c>
      <c r="T11" s="18"/>
    </row>
    <row r="12" spans="1:20" ht="129.94999999999999" customHeight="1" x14ac:dyDescent="0.3">
      <c r="A12" s="4">
        <v>7</v>
      </c>
      <c r="B12" s="4" t="s">
        <v>40</v>
      </c>
      <c r="C12" s="4" t="str">
        <f t="shared" si="1"/>
        <v>25-강남구-7</v>
      </c>
      <c r="D12" s="4" t="s">
        <v>26</v>
      </c>
      <c r="E12" s="4" t="s">
        <v>41</v>
      </c>
      <c r="F12" s="4" t="s">
        <v>26</v>
      </c>
      <c r="G12" s="4">
        <v>13.5</v>
      </c>
      <c r="H12" s="4" t="s">
        <v>38</v>
      </c>
      <c r="I12" s="4">
        <f t="shared" si="2"/>
        <v>0</v>
      </c>
      <c r="J12" s="4">
        <f t="shared" si="3"/>
        <v>3</v>
      </c>
      <c r="K12" s="4">
        <f t="shared" si="4"/>
        <v>0</v>
      </c>
      <c r="L12" s="4">
        <f t="shared" si="5"/>
        <v>1</v>
      </c>
      <c r="M12" s="4">
        <f t="shared" si="6"/>
        <v>0</v>
      </c>
      <c r="N12" s="4">
        <f t="shared" si="0"/>
        <v>4</v>
      </c>
      <c r="O12" s="4" t="str">
        <f t="shared" si="7"/>
        <v>일반</v>
      </c>
      <c r="P12" s="4"/>
      <c r="Q12" s="4" t="s">
        <v>75</v>
      </c>
      <c r="R12" s="19"/>
      <c r="S12" s="5" t="s">
        <v>74</v>
      </c>
      <c r="T12" s="18"/>
    </row>
    <row r="13" spans="1:20" ht="129.94999999999999" customHeight="1" x14ac:dyDescent="0.3">
      <c r="A13" s="4">
        <v>8</v>
      </c>
      <c r="B13" s="4" t="s">
        <v>40</v>
      </c>
      <c r="C13" s="4" t="str">
        <f t="shared" si="1"/>
        <v>25-강남구-8</v>
      </c>
      <c r="D13" s="4" t="s">
        <v>26</v>
      </c>
      <c r="E13" s="4" t="s">
        <v>41</v>
      </c>
      <c r="F13" s="4" t="s">
        <v>26</v>
      </c>
      <c r="G13" s="4">
        <v>13.5</v>
      </c>
      <c r="H13" s="4" t="s">
        <v>38</v>
      </c>
      <c r="I13" s="4">
        <f t="shared" si="2"/>
        <v>0</v>
      </c>
      <c r="J13" s="4">
        <f t="shared" si="3"/>
        <v>3</v>
      </c>
      <c r="K13" s="4">
        <f t="shared" si="4"/>
        <v>0</v>
      </c>
      <c r="L13" s="4">
        <f t="shared" si="5"/>
        <v>1</v>
      </c>
      <c r="M13" s="4">
        <f t="shared" si="6"/>
        <v>0</v>
      </c>
      <c r="N13" s="4">
        <f t="shared" si="0"/>
        <v>4</v>
      </c>
      <c r="O13" s="4" t="str">
        <f t="shared" si="7"/>
        <v>일반</v>
      </c>
      <c r="P13" s="4"/>
      <c r="Q13" s="4" t="s">
        <v>77</v>
      </c>
      <c r="R13" s="4"/>
      <c r="S13" s="5" t="s">
        <v>78</v>
      </c>
      <c r="T13" s="18"/>
    </row>
    <row r="14" spans="1:20" ht="129.94999999999999" customHeight="1" x14ac:dyDescent="0.3">
      <c r="A14" s="4">
        <v>9</v>
      </c>
      <c r="B14" s="4" t="s">
        <v>40</v>
      </c>
      <c r="C14" s="4" t="str">
        <f t="shared" si="1"/>
        <v>25-강남구-9</v>
      </c>
      <c r="D14" s="4" t="s">
        <v>26</v>
      </c>
      <c r="E14" s="4" t="s">
        <v>41</v>
      </c>
      <c r="F14" s="4" t="s">
        <v>26</v>
      </c>
      <c r="G14" s="4">
        <v>13.5</v>
      </c>
      <c r="H14" s="4" t="s">
        <v>38</v>
      </c>
      <c r="I14" s="4">
        <f t="shared" si="2"/>
        <v>0</v>
      </c>
      <c r="J14" s="4">
        <f t="shared" si="3"/>
        <v>3</v>
      </c>
      <c r="K14" s="4">
        <f t="shared" si="4"/>
        <v>0</v>
      </c>
      <c r="L14" s="4">
        <f t="shared" si="5"/>
        <v>1</v>
      </c>
      <c r="M14" s="4">
        <f t="shared" si="6"/>
        <v>0</v>
      </c>
      <c r="N14" s="4">
        <f t="shared" si="0"/>
        <v>4</v>
      </c>
      <c r="O14" s="4" t="str">
        <f t="shared" si="7"/>
        <v>일반</v>
      </c>
      <c r="P14" s="4" t="s">
        <v>44</v>
      </c>
      <c r="Q14" s="4" t="s">
        <v>79</v>
      </c>
      <c r="R14" s="19"/>
      <c r="S14" s="5" t="s">
        <v>80</v>
      </c>
      <c r="T14" s="18"/>
    </row>
    <row r="15" spans="1:20" ht="129.94999999999999" customHeight="1" x14ac:dyDescent="0.3">
      <c r="A15" s="4">
        <v>10</v>
      </c>
      <c r="B15" s="4" t="s">
        <v>40</v>
      </c>
      <c r="C15" s="4" t="str">
        <f t="shared" si="1"/>
        <v>25-강남구-10</v>
      </c>
      <c r="D15" s="4" t="s">
        <v>26</v>
      </c>
      <c r="E15" s="4" t="s">
        <v>41</v>
      </c>
      <c r="F15" s="4" t="s">
        <v>26</v>
      </c>
      <c r="G15" s="4">
        <v>13.5</v>
      </c>
      <c r="H15" s="4" t="s">
        <v>38</v>
      </c>
      <c r="I15" s="4">
        <f t="shared" si="2"/>
        <v>0</v>
      </c>
      <c r="J15" s="4">
        <f t="shared" si="3"/>
        <v>3</v>
      </c>
      <c r="K15" s="4">
        <f t="shared" si="4"/>
        <v>0</v>
      </c>
      <c r="L15" s="4">
        <f t="shared" si="5"/>
        <v>1</v>
      </c>
      <c r="M15" s="4">
        <f t="shared" si="6"/>
        <v>0</v>
      </c>
      <c r="N15" s="4">
        <f t="shared" si="0"/>
        <v>4</v>
      </c>
      <c r="O15" s="4" t="str">
        <f t="shared" si="7"/>
        <v>일반</v>
      </c>
      <c r="P15" s="4"/>
      <c r="Q15" s="4" t="s">
        <v>82</v>
      </c>
      <c r="R15" s="19"/>
      <c r="S15" s="5" t="s">
        <v>81</v>
      </c>
      <c r="T15" s="18"/>
    </row>
    <row r="16" spans="1:20" ht="129.94999999999999" customHeight="1" x14ac:dyDescent="0.3">
      <c r="A16" s="4">
        <v>11</v>
      </c>
      <c r="B16" s="4" t="s">
        <v>40</v>
      </c>
      <c r="C16" s="4" t="str">
        <f t="shared" si="1"/>
        <v>25-강남구-11</v>
      </c>
      <c r="D16" s="4" t="s">
        <v>26</v>
      </c>
      <c r="E16" s="4" t="s">
        <v>41</v>
      </c>
      <c r="F16" s="4" t="s">
        <v>26</v>
      </c>
      <c r="G16" s="4">
        <v>13.5</v>
      </c>
      <c r="H16" s="4" t="s">
        <v>38</v>
      </c>
      <c r="I16" s="4">
        <f t="shared" si="2"/>
        <v>0</v>
      </c>
      <c r="J16" s="4">
        <f t="shared" si="3"/>
        <v>3</v>
      </c>
      <c r="K16" s="4">
        <f t="shared" si="4"/>
        <v>0</v>
      </c>
      <c r="L16" s="4">
        <f t="shared" si="5"/>
        <v>1</v>
      </c>
      <c r="M16" s="4">
        <f t="shared" si="6"/>
        <v>0</v>
      </c>
      <c r="N16" s="4">
        <f t="shared" si="0"/>
        <v>4</v>
      </c>
      <c r="O16" s="4" t="str">
        <f t="shared" si="7"/>
        <v>일반</v>
      </c>
      <c r="P16" s="4"/>
      <c r="Q16" s="7" t="s">
        <v>101</v>
      </c>
      <c r="R16" s="19"/>
      <c r="S16" s="5" t="s">
        <v>100</v>
      </c>
      <c r="T16" s="18"/>
    </row>
    <row r="17" spans="1:20" ht="129.94999999999999" customHeight="1" x14ac:dyDescent="0.3">
      <c r="A17" s="4">
        <v>12</v>
      </c>
      <c r="B17" s="4" t="s">
        <v>40</v>
      </c>
      <c r="C17" s="4" t="str">
        <f t="shared" si="1"/>
        <v>25-강남구-12</v>
      </c>
      <c r="D17" s="4" t="s">
        <v>26</v>
      </c>
      <c r="E17" s="4" t="s">
        <v>41</v>
      </c>
      <c r="F17" s="4" t="s">
        <v>26</v>
      </c>
      <c r="G17" s="4">
        <v>13.5</v>
      </c>
      <c r="H17" s="4" t="s">
        <v>38</v>
      </c>
      <c r="I17" s="4">
        <f t="shared" si="2"/>
        <v>0</v>
      </c>
      <c r="J17" s="4">
        <f t="shared" si="3"/>
        <v>3</v>
      </c>
      <c r="K17" s="4">
        <f t="shared" si="4"/>
        <v>0</v>
      </c>
      <c r="L17" s="4">
        <f t="shared" si="5"/>
        <v>1</v>
      </c>
      <c r="M17" s="4">
        <f t="shared" si="6"/>
        <v>0</v>
      </c>
      <c r="N17" s="4">
        <f t="shared" si="0"/>
        <v>4</v>
      </c>
      <c r="O17" s="4" t="str">
        <f t="shared" si="7"/>
        <v>일반</v>
      </c>
      <c r="P17" s="4"/>
      <c r="Q17" s="4" t="s">
        <v>84</v>
      </c>
      <c r="R17" s="19"/>
      <c r="S17" s="5" t="s">
        <v>83</v>
      </c>
      <c r="T17" s="18"/>
    </row>
    <row r="18" spans="1:20" ht="129.94999999999999" customHeight="1" x14ac:dyDescent="0.3">
      <c r="A18" s="4">
        <v>13</v>
      </c>
      <c r="B18" s="4" t="s">
        <v>40</v>
      </c>
      <c r="C18" s="4" t="str">
        <f t="shared" si="1"/>
        <v>25-강남구-13</v>
      </c>
      <c r="D18" s="4" t="s">
        <v>26</v>
      </c>
      <c r="E18" s="4" t="s">
        <v>41</v>
      </c>
      <c r="F18" s="4" t="s">
        <v>26</v>
      </c>
      <c r="G18" s="4">
        <v>13.5</v>
      </c>
      <c r="H18" s="4" t="s">
        <v>38</v>
      </c>
      <c r="I18" s="4">
        <f t="shared" si="2"/>
        <v>0</v>
      </c>
      <c r="J18" s="4">
        <f t="shared" si="3"/>
        <v>3</v>
      </c>
      <c r="K18" s="4">
        <f t="shared" si="4"/>
        <v>0</v>
      </c>
      <c r="L18" s="4">
        <f t="shared" si="5"/>
        <v>1</v>
      </c>
      <c r="M18" s="4">
        <f t="shared" si="6"/>
        <v>0</v>
      </c>
      <c r="N18" s="4">
        <f t="shared" si="0"/>
        <v>4</v>
      </c>
      <c r="O18" s="4" t="str">
        <f t="shared" si="7"/>
        <v>일반</v>
      </c>
      <c r="P18" s="4"/>
      <c r="Q18" s="4" t="s">
        <v>85</v>
      </c>
      <c r="R18" s="4"/>
      <c r="S18" s="5" t="s">
        <v>88</v>
      </c>
      <c r="T18" s="18"/>
    </row>
    <row r="19" spans="1:20" ht="129.94999999999999" customHeight="1" x14ac:dyDescent="0.3">
      <c r="A19" s="4">
        <v>14</v>
      </c>
      <c r="B19" s="4" t="s">
        <v>40</v>
      </c>
      <c r="C19" s="4" t="str">
        <f t="shared" si="1"/>
        <v>25-강남구-14</v>
      </c>
      <c r="D19" s="4" t="s">
        <v>26</v>
      </c>
      <c r="E19" s="4" t="s">
        <v>43</v>
      </c>
      <c r="F19" s="4" t="s">
        <v>26</v>
      </c>
      <c r="G19" s="4">
        <v>13.5</v>
      </c>
      <c r="H19" s="4" t="s">
        <v>38</v>
      </c>
      <c r="I19" s="4">
        <f t="shared" si="2"/>
        <v>0</v>
      </c>
      <c r="J19" s="4">
        <f t="shared" si="3"/>
        <v>1</v>
      </c>
      <c r="K19" s="4">
        <f t="shared" si="4"/>
        <v>0</v>
      </c>
      <c r="L19" s="4">
        <f t="shared" si="5"/>
        <v>1</v>
      </c>
      <c r="M19" s="4">
        <f t="shared" si="6"/>
        <v>0</v>
      </c>
      <c r="N19" s="4">
        <f t="shared" si="0"/>
        <v>2</v>
      </c>
      <c r="O19" s="4" t="str">
        <f t="shared" si="7"/>
        <v>일반</v>
      </c>
      <c r="P19" s="4"/>
      <c r="Q19" s="4" t="s">
        <v>86</v>
      </c>
      <c r="R19" s="19"/>
      <c r="S19" s="5" t="s">
        <v>87</v>
      </c>
      <c r="T19" s="18"/>
    </row>
    <row r="20" spans="1:20" ht="129.94999999999999" customHeight="1" x14ac:dyDescent="0.3">
      <c r="A20" s="4">
        <v>15</v>
      </c>
      <c r="B20" s="4" t="s">
        <v>40</v>
      </c>
      <c r="C20" s="4" t="str">
        <f t="shared" si="1"/>
        <v>25-강남구-15</v>
      </c>
      <c r="D20" s="4" t="s">
        <v>26</v>
      </c>
      <c r="E20" s="4" t="s">
        <v>41</v>
      </c>
      <c r="F20" s="4" t="s">
        <v>26</v>
      </c>
      <c r="G20" s="4">
        <v>13.5</v>
      </c>
      <c r="H20" s="4" t="s">
        <v>38</v>
      </c>
      <c r="I20" s="4">
        <f t="shared" si="2"/>
        <v>0</v>
      </c>
      <c r="J20" s="4">
        <f t="shared" si="3"/>
        <v>3</v>
      </c>
      <c r="K20" s="4">
        <f t="shared" si="4"/>
        <v>0</v>
      </c>
      <c r="L20" s="4">
        <f t="shared" si="5"/>
        <v>1</v>
      </c>
      <c r="M20" s="4">
        <f t="shared" si="6"/>
        <v>0</v>
      </c>
      <c r="N20" s="4">
        <f t="shared" si="0"/>
        <v>4</v>
      </c>
      <c r="O20" s="4" t="str">
        <f t="shared" si="7"/>
        <v>일반</v>
      </c>
      <c r="P20" s="4"/>
      <c r="Q20" s="4" t="s">
        <v>86</v>
      </c>
      <c r="R20" s="4"/>
      <c r="S20" s="5" t="s">
        <v>89</v>
      </c>
      <c r="T20" s="18"/>
    </row>
    <row r="21" spans="1:20" ht="129.94999999999999" customHeight="1" x14ac:dyDescent="0.3">
      <c r="A21" s="4">
        <v>16</v>
      </c>
      <c r="B21" s="4" t="s">
        <v>40</v>
      </c>
      <c r="C21" s="4" t="str">
        <f t="shared" si="1"/>
        <v>25-강남구-16</v>
      </c>
      <c r="D21" s="4" t="s">
        <v>26</v>
      </c>
      <c r="E21" s="4" t="s">
        <v>41</v>
      </c>
      <c r="F21" s="4" t="s">
        <v>26</v>
      </c>
      <c r="G21" s="4">
        <v>13.5</v>
      </c>
      <c r="H21" s="4" t="s">
        <v>38</v>
      </c>
      <c r="I21" s="4">
        <f t="shared" si="2"/>
        <v>0</v>
      </c>
      <c r="J21" s="4">
        <f t="shared" si="3"/>
        <v>3</v>
      </c>
      <c r="K21" s="4">
        <f t="shared" si="4"/>
        <v>0</v>
      </c>
      <c r="L21" s="4">
        <f t="shared" si="5"/>
        <v>1</v>
      </c>
      <c r="M21" s="4">
        <f t="shared" si="6"/>
        <v>0</v>
      </c>
      <c r="N21" s="4">
        <f t="shared" si="0"/>
        <v>4</v>
      </c>
      <c r="O21" s="4" t="str">
        <f t="shared" si="7"/>
        <v>일반</v>
      </c>
      <c r="P21" s="4"/>
      <c r="Q21" s="4" t="s">
        <v>91</v>
      </c>
      <c r="R21" s="4"/>
      <c r="S21" s="5" t="s">
        <v>90</v>
      </c>
      <c r="T21" s="18"/>
    </row>
    <row r="22" spans="1:20" ht="129.94999999999999" customHeight="1" x14ac:dyDescent="0.3">
      <c r="A22" s="4">
        <v>17</v>
      </c>
      <c r="B22" s="4" t="s">
        <v>40</v>
      </c>
      <c r="C22" s="4" t="str">
        <f t="shared" si="1"/>
        <v>25-강남구-17</v>
      </c>
      <c r="D22" s="4" t="s">
        <v>26</v>
      </c>
      <c r="E22" s="4" t="s">
        <v>41</v>
      </c>
      <c r="F22" s="4" t="s">
        <v>26</v>
      </c>
      <c r="G22" s="4">
        <v>13.5</v>
      </c>
      <c r="H22" s="4" t="s">
        <v>38</v>
      </c>
      <c r="I22" s="4">
        <f t="shared" si="2"/>
        <v>0</v>
      </c>
      <c r="J22" s="4">
        <f t="shared" si="3"/>
        <v>3</v>
      </c>
      <c r="K22" s="4">
        <f t="shared" si="4"/>
        <v>0</v>
      </c>
      <c r="L22" s="4">
        <f t="shared" si="5"/>
        <v>1</v>
      </c>
      <c r="M22" s="4">
        <f t="shared" si="6"/>
        <v>0</v>
      </c>
      <c r="N22" s="4">
        <f t="shared" si="0"/>
        <v>4</v>
      </c>
      <c r="O22" s="4" t="str">
        <f t="shared" si="7"/>
        <v>일반</v>
      </c>
      <c r="P22" s="4"/>
      <c r="Q22" s="4" t="s">
        <v>93</v>
      </c>
      <c r="R22" s="4"/>
      <c r="S22" s="5" t="s">
        <v>92</v>
      </c>
      <c r="T22" s="18"/>
    </row>
    <row r="23" spans="1:20" ht="129.94999999999999" customHeight="1" x14ac:dyDescent="0.3">
      <c r="A23" s="4">
        <v>18</v>
      </c>
      <c r="B23" s="4" t="s">
        <v>40</v>
      </c>
      <c r="C23" s="4" t="str">
        <f t="shared" si="1"/>
        <v>25-강남구-18</v>
      </c>
      <c r="D23" s="4" t="s">
        <v>26</v>
      </c>
      <c r="E23" s="4" t="s">
        <v>41</v>
      </c>
      <c r="F23" s="4" t="s">
        <v>26</v>
      </c>
      <c r="G23" s="4">
        <v>13.5</v>
      </c>
      <c r="H23" s="4" t="s">
        <v>38</v>
      </c>
      <c r="I23" s="4">
        <f t="shared" si="2"/>
        <v>0</v>
      </c>
      <c r="J23" s="4">
        <f t="shared" si="3"/>
        <v>3</v>
      </c>
      <c r="K23" s="4">
        <f t="shared" si="4"/>
        <v>0</v>
      </c>
      <c r="L23" s="4">
        <f t="shared" si="5"/>
        <v>1</v>
      </c>
      <c r="M23" s="4">
        <f t="shared" si="6"/>
        <v>0</v>
      </c>
      <c r="N23" s="4">
        <f t="shared" si="0"/>
        <v>4</v>
      </c>
      <c r="O23" s="4" t="str">
        <f t="shared" si="7"/>
        <v>일반</v>
      </c>
      <c r="P23" s="4"/>
      <c r="Q23" s="4" t="s">
        <v>99</v>
      </c>
      <c r="R23" s="19"/>
      <c r="S23" s="5" t="s">
        <v>94</v>
      </c>
      <c r="T23" s="18"/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E2083-4368-49F0-9E8C-0D0CFC75EE37}">
  <dimension ref="A2:C22"/>
  <sheetViews>
    <sheetView view="pageBreakPreview" topLeftCell="A20" zoomScaleNormal="100" zoomScaleSheetLayoutView="100" workbookViewId="0">
      <selection activeCell="G10" sqref="G10"/>
    </sheetView>
  </sheetViews>
  <sheetFormatPr defaultRowHeight="16.5" x14ac:dyDescent="0.3"/>
  <cols>
    <col min="1" max="1" width="12.5" customWidth="1"/>
    <col min="2" max="2" width="39.125" customWidth="1"/>
    <col min="3" max="3" width="25.375" style="9" customWidth="1"/>
  </cols>
  <sheetData>
    <row r="2" spans="1:3" x14ac:dyDescent="0.3">
      <c r="A2" s="13" t="s">
        <v>70</v>
      </c>
    </row>
    <row r="3" spans="1:3" ht="6.75" customHeight="1" x14ac:dyDescent="0.3"/>
    <row r="4" spans="1:3" ht="33" x14ac:dyDescent="0.3">
      <c r="A4" s="16" t="s">
        <v>68</v>
      </c>
      <c r="B4" s="17" t="s">
        <v>24</v>
      </c>
      <c r="C4" s="16" t="s">
        <v>69</v>
      </c>
    </row>
    <row r="5" spans="1:3" ht="129.75" customHeight="1" x14ac:dyDescent="0.3">
      <c r="A5" s="12" t="str">
        <f>RIGHT(RawData!$A$2,2)&amp;"-"&amp;RawData!$C$2&amp;"-"&amp;RawData!A6</f>
        <v>25-강남구-1</v>
      </c>
      <c r="B5" s="4"/>
      <c r="C5" s="15" t="str">
        <f>IF(RawData!S6="","-",RawData!S6)</f>
        <v>강남역 교차로 도로</v>
      </c>
    </row>
    <row r="6" spans="1:3" ht="129.75" customHeight="1" x14ac:dyDescent="0.3">
      <c r="A6" s="12" t="str">
        <f>RIGHT(RawData!$A$2,2)&amp;"-"&amp;RawData!$C$2&amp;"-"&amp;RawData!A7</f>
        <v>25-강남구-2</v>
      </c>
      <c r="B6" s="4"/>
      <c r="C6" s="15" t="str">
        <f>IF(RawData!S7="","-",RawData!S7)</f>
        <v>올리브영 강남중앙점 도로</v>
      </c>
    </row>
    <row r="7" spans="1:3" ht="129.75" customHeight="1" x14ac:dyDescent="0.3">
      <c r="A7" s="12" t="str">
        <f>RIGHT(RawData!$A$2,2)&amp;"-"&amp;RawData!$C$2&amp;"-"&amp;RawData!A8</f>
        <v>25-강남구-3</v>
      </c>
      <c r="B7" s="4"/>
      <c r="C7" s="15" t="str">
        <f>IF(RawData!S8="","-",RawData!S8)</f>
        <v>혜천빌딩 앞 도로</v>
      </c>
    </row>
    <row r="8" spans="1:3" ht="129.75" customHeight="1" x14ac:dyDescent="0.3">
      <c r="A8" s="12" t="str">
        <f>RIGHT(RawData!$A$2,2)&amp;"-"&amp;RawData!$C$2&amp;"-"&amp;RawData!A9</f>
        <v>25-강남구-4</v>
      </c>
      <c r="B8" s="4"/>
      <c r="C8" s="15" t="str">
        <f>IF(RawData!S9="","-",RawData!S9)</f>
        <v>스케일타워 앞 도로</v>
      </c>
    </row>
    <row r="9" spans="1:3" ht="129.75" customHeight="1" x14ac:dyDescent="0.3">
      <c r="A9" s="12" t="str">
        <f>RIGHT(RawData!$A$2,2)&amp;"-"&amp;RawData!$C$2&amp;"-"&amp;RawData!A10</f>
        <v>25-강남구-5</v>
      </c>
      <c r="C9" s="15" t="str">
        <f>IF(RawData!S10="","-",RawData!S10)</f>
        <v>역삼빌딩 앞 도로</v>
      </c>
    </row>
    <row r="10" spans="1:3" ht="129.75" customHeight="1" x14ac:dyDescent="0.3">
      <c r="A10" s="12" t="str">
        <f>RIGHT(RawData!$A$2,2)&amp;"-"&amp;RawData!$C$2&amp;"-"&amp;RawData!A11</f>
        <v>25-강남구-6</v>
      </c>
      <c r="B10" s="4"/>
      <c r="C10" s="15" t="str">
        <f>IF(RawData!S11="","-",RawData!S11)</f>
        <v>우성아파트 앞 사거리 도로</v>
      </c>
    </row>
    <row r="11" spans="1:3" ht="129.75" customHeight="1" x14ac:dyDescent="0.3">
      <c r="A11" s="12" t="str">
        <f>RIGHT(RawData!$A$2,2)&amp;"-"&amp;RawData!$C$2&amp;"-"&amp;RawData!A12</f>
        <v>25-강남구-7</v>
      </c>
      <c r="C11" s="15" t="str">
        <f>IF(RawData!S12="","-",RawData!S12)</f>
        <v>역삼동832-2 알 도로</v>
      </c>
    </row>
    <row r="12" spans="1:3" ht="129.75" customHeight="1" x14ac:dyDescent="0.3">
      <c r="A12" s="12" t="str">
        <f>RIGHT(RawData!$A$2,2)&amp;"-"&amp;RawData!$C$2&amp;"-"&amp;RawData!A13</f>
        <v>25-강남구-8</v>
      </c>
      <c r="B12" s="4"/>
      <c r="C12" s="15" t="str">
        <f>IF(RawData!S13="","-",RawData!S13)</f>
        <v>라온약국 앞 도로</v>
      </c>
    </row>
    <row r="13" spans="1:3" ht="129.75" customHeight="1" x14ac:dyDescent="0.3">
      <c r="A13" s="12" t="str">
        <f>RIGHT(RawData!$A$2,2)&amp;"-"&amp;RawData!$C$2&amp;"-"&amp;RawData!A14</f>
        <v>25-강남구-9</v>
      </c>
      <c r="C13" s="15" t="str">
        <f>IF(RawData!S14="","-",RawData!S14)</f>
        <v>유니온센터 주차장 입구 앞 도로</v>
      </c>
    </row>
    <row r="14" spans="1:3" ht="129.75" customHeight="1" x14ac:dyDescent="0.3">
      <c r="A14" s="12" t="str">
        <f>RIGHT(RawData!$A$2,2)&amp;"-"&amp;RawData!$C$2&amp;"-"&amp;RawData!A15</f>
        <v>25-강남구-10</v>
      </c>
      <c r="C14" s="15" t="str">
        <f>IF(RawData!S15="","-",RawData!S15)</f>
        <v>우리은행 앞 도로</v>
      </c>
    </row>
    <row r="15" spans="1:3" ht="129.75" customHeight="1" x14ac:dyDescent="0.3">
      <c r="A15" s="12" t="str">
        <f>RIGHT(RawData!$A$2,2)&amp;"-"&amp;RawData!$C$2&amp;"-"&amp;RawData!A16</f>
        <v>25-강남구-11</v>
      </c>
      <c r="C15" s="15" t="str">
        <f>IF(RawData!S16="","-",RawData!S16)</f>
        <v>뱅뱅사거리 도로</v>
      </c>
    </row>
    <row r="16" spans="1:3" ht="129.75" customHeight="1" x14ac:dyDescent="0.3">
      <c r="A16" s="12" t="str">
        <f>RIGHT(RawData!$A$2,2)&amp;"-"&amp;RawData!$C$2&amp;"-"&amp;RawData!A17</f>
        <v>25-강남구-12</v>
      </c>
      <c r="C16" s="15" t="str">
        <f>IF(RawData!S17="","-",RawData!S17)</f>
        <v>부영빌딩 앞 도로</v>
      </c>
    </row>
    <row r="17" spans="1:3" ht="129.75" customHeight="1" x14ac:dyDescent="0.3">
      <c r="A17" s="12" t="str">
        <f>RIGHT(RawData!$A$2,2)&amp;"-"&amp;RawData!$C$2&amp;"-"&amp;RawData!A18</f>
        <v>25-강남구-13</v>
      </c>
      <c r="B17" s="4"/>
      <c r="C17" s="15" t="str">
        <f>IF(RawData!S18="","-",RawData!S18)</f>
        <v>메디움강남 요양병원 앞 도로</v>
      </c>
    </row>
    <row r="18" spans="1:3" ht="129.75" customHeight="1" x14ac:dyDescent="0.3">
      <c r="A18" s="12" t="str">
        <f>RIGHT(RawData!$A$2,2)&amp;"-"&amp;RawData!$C$2&amp;"-"&amp;RawData!A19</f>
        <v>25-강남구-14</v>
      </c>
      <c r="C18" s="15" t="str">
        <f>IF(RawData!S19="","-",RawData!S19)</f>
        <v>캠코양재타워 주차장 앞 도로</v>
      </c>
    </row>
    <row r="19" spans="1:3" ht="129.75" customHeight="1" x14ac:dyDescent="0.3">
      <c r="A19" s="12" t="str">
        <f>RIGHT(RawData!$A$2,2)&amp;"-"&amp;RawData!$C$2&amp;"-"&amp;RawData!A20</f>
        <v>25-강남구-15</v>
      </c>
      <c r="B19" s="4"/>
      <c r="C19" s="15" t="str">
        <f>IF(RawData!S20="","-",RawData!S20)</f>
        <v>한국자산관리공사 앞 도로</v>
      </c>
    </row>
    <row r="20" spans="1:3" ht="129.75" customHeight="1" x14ac:dyDescent="0.3">
      <c r="A20" s="12" t="str">
        <f>RIGHT(RawData!$A$2,2)&amp;"-"&amp;RawData!$C$2&amp;"-"&amp;RawData!A21</f>
        <v>25-강남구-16</v>
      </c>
      <c r="B20" s="4"/>
      <c r="C20" s="15" t="str">
        <f>IF(RawData!S21="","-",RawData!S21)</f>
        <v>도루코본사 앞 도로</v>
      </c>
    </row>
    <row r="21" spans="1:3" ht="129.75" customHeight="1" x14ac:dyDescent="0.3">
      <c r="A21" s="12" t="str">
        <f>RIGHT(RawData!$A$2,2)&amp;"-"&amp;RawData!$C$2&amp;"-"&amp;RawData!A22</f>
        <v>25-강남구-17</v>
      </c>
      <c r="B21" s="4"/>
      <c r="C21" s="15" t="str">
        <f>IF(RawData!S22="","-",RawData!S22)</f>
        <v>강남 현안과의원 앞 도로</v>
      </c>
    </row>
    <row r="22" spans="1:3" ht="129.75" customHeight="1" x14ac:dyDescent="0.3">
      <c r="A22" s="12" t="str">
        <f>RIGHT(RawData!$A$2,2)&amp;"-"&amp;RawData!$C$2&amp;"-"&amp;RawData!A23</f>
        <v>25-강남구-18</v>
      </c>
      <c r="C22" s="15" t="str">
        <f>IF(RawData!S23="","-",RawData!S23)</f>
        <v>양재역 #3번 출구 앞 도로</v>
      </c>
    </row>
  </sheetData>
  <phoneticPr fontId="1" type="noConversion"/>
  <pageMargins left="0.70866141732283472" right="0.70866141732283472" top="0.74803149606299213" bottom="0.74803149606299213" header="0.31496062992125984" footer="0.31496062992125984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DC075-BE59-4F42-BEA7-47924B353838}">
  <sheetPr>
    <pageSetUpPr fitToPage="1"/>
  </sheetPr>
  <dimension ref="A2:S28"/>
  <sheetViews>
    <sheetView view="pageBreakPreview" zoomScaleNormal="100" zoomScaleSheetLayoutView="100" workbookViewId="0">
      <selection activeCell="S23" sqref="S23"/>
    </sheetView>
  </sheetViews>
  <sheetFormatPr defaultRowHeight="16.5" x14ac:dyDescent="0.3"/>
  <cols>
    <col min="3" max="3" width="11.625" customWidth="1"/>
    <col min="8" max="8" width="13.875" customWidth="1"/>
    <col min="13" max="13" width="13.875" customWidth="1"/>
    <col min="14" max="15" width="4.375" customWidth="1"/>
    <col min="16" max="16" width="11.625" customWidth="1"/>
  </cols>
  <sheetData>
    <row r="2" spans="1:19" x14ac:dyDescent="0.3">
      <c r="A2" s="13" t="s">
        <v>53</v>
      </c>
      <c r="B2" s="13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</row>
    <row r="3" spans="1:19" ht="6.75" customHeight="1" x14ac:dyDescent="0.3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</row>
    <row r="4" spans="1:19" x14ac:dyDescent="0.3">
      <c r="A4" s="21" t="s">
        <v>54</v>
      </c>
      <c r="B4" s="21"/>
      <c r="C4" s="21" t="s">
        <v>56</v>
      </c>
      <c r="D4" s="21"/>
      <c r="E4" s="21" t="s">
        <v>57</v>
      </c>
      <c r="F4" s="21"/>
      <c r="G4" s="21" t="s">
        <v>59</v>
      </c>
      <c r="H4" s="21"/>
      <c r="I4" s="21"/>
      <c r="J4" s="21" t="s">
        <v>65</v>
      </c>
      <c r="K4" s="21"/>
      <c r="L4" s="21"/>
      <c r="M4" s="21" t="s">
        <v>64</v>
      </c>
      <c r="N4" s="21"/>
      <c r="O4" s="21"/>
      <c r="P4" s="21"/>
    </row>
    <row r="5" spans="1:19" x14ac:dyDescent="0.3">
      <c r="A5" s="21" t="s">
        <v>55</v>
      </c>
      <c r="B5" s="21"/>
      <c r="C5" s="21" t="s">
        <v>6</v>
      </c>
      <c r="D5" s="21"/>
      <c r="E5" s="21" t="s">
        <v>58</v>
      </c>
      <c r="F5" s="21"/>
      <c r="G5" s="21" t="s">
        <v>60</v>
      </c>
      <c r="H5" s="21"/>
      <c r="I5" s="21"/>
      <c r="J5" s="21" t="s">
        <v>58</v>
      </c>
      <c r="K5" s="21"/>
      <c r="L5" s="21"/>
      <c r="M5" s="21" t="s">
        <v>63</v>
      </c>
      <c r="N5" s="21"/>
      <c r="O5" s="21"/>
      <c r="P5" s="21"/>
    </row>
    <row r="6" spans="1:19" x14ac:dyDescent="0.3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</row>
    <row r="7" spans="1:19" x14ac:dyDescent="0.3">
      <c r="A7" s="22" t="s">
        <v>11</v>
      </c>
      <c r="B7" s="22" t="s">
        <v>12</v>
      </c>
      <c r="C7" s="22" t="s">
        <v>13</v>
      </c>
      <c r="D7" s="23" t="s">
        <v>61</v>
      </c>
      <c r="E7" s="23"/>
      <c r="F7" s="23"/>
      <c r="G7" s="23"/>
      <c r="H7" s="23"/>
      <c r="I7" s="23" t="s">
        <v>62</v>
      </c>
      <c r="J7" s="23"/>
      <c r="K7" s="23"/>
      <c r="L7" s="23"/>
      <c r="M7" s="23"/>
      <c r="N7" s="22" t="s">
        <v>21</v>
      </c>
      <c r="O7" s="22" t="s">
        <v>22</v>
      </c>
      <c r="P7" s="22" t="s">
        <v>23</v>
      </c>
    </row>
    <row r="8" spans="1:19" s="8" customFormat="1" ht="24.75" x14ac:dyDescent="0.3">
      <c r="A8" s="22"/>
      <c r="B8" s="22"/>
      <c r="C8" s="22"/>
      <c r="D8" s="11" t="s">
        <v>42</v>
      </c>
      <c r="E8" s="11" t="s">
        <v>15</v>
      </c>
      <c r="F8" s="11" t="s">
        <v>16</v>
      </c>
      <c r="G8" s="11" t="s">
        <v>17</v>
      </c>
      <c r="H8" s="11" t="s">
        <v>66</v>
      </c>
      <c r="I8" s="11" t="s">
        <v>14</v>
      </c>
      <c r="J8" s="11" t="s">
        <v>15</v>
      </c>
      <c r="K8" s="11" t="s">
        <v>16</v>
      </c>
      <c r="L8" s="11" t="s">
        <v>19</v>
      </c>
      <c r="M8" s="11" t="s">
        <v>20</v>
      </c>
      <c r="N8" s="22"/>
      <c r="O8" s="22"/>
      <c r="P8" s="22"/>
      <c r="Q8"/>
      <c r="R8"/>
      <c r="S8"/>
    </row>
    <row r="9" spans="1:19" x14ac:dyDescent="0.3">
      <c r="A9" s="12">
        <v>1</v>
      </c>
      <c r="B9" s="12" t="s">
        <v>40</v>
      </c>
      <c r="C9" s="12" t="str">
        <f>RIGHT(RawData!$A$2,2)&amp;"-"&amp;RawData!$C$2&amp;"-"&amp;A9</f>
        <v>25-강남구-1</v>
      </c>
      <c r="D9" s="12" t="s">
        <v>26</v>
      </c>
      <c r="E9" s="12" t="s">
        <v>41</v>
      </c>
      <c r="F9" s="12" t="s">
        <v>26</v>
      </c>
      <c r="G9" s="12">
        <v>13.5</v>
      </c>
      <c r="H9" s="12" t="s">
        <v>38</v>
      </c>
      <c r="I9" s="12">
        <f>IF(D9="양호",0,IF(AND(D9&gt;=50,D9&lt;100),3,IF(D9&gt;=100,9)))</f>
        <v>0</v>
      </c>
      <c r="J9" s="12">
        <f>IF(E9="거북등",3,IF(RIGHT(E9,2)="균열",1,IF(E9="",0)))</f>
        <v>3</v>
      </c>
      <c r="K9" s="12">
        <f>IF(F9="유출",9,IF(F9="습윤",1,IF(F9="양호",0)))</f>
        <v>0</v>
      </c>
      <c r="L9" s="12">
        <f>IF(G9&lt;10,0,IF(G9&lt;30,1,IF(G9&gt;=30,2)))</f>
        <v>1</v>
      </c>
      <c r="M9" s="12">
        <f>IF(H9="-",0,1)</f>
        <v>0</v>
      </c>
      <c r="N9" s="12">
        <f t="shared" ref="N9:N26" si="0">SUM(I9:M9)</f>
        <v>4</v>
      </c>
      <c r="O9" s="12" t="str">
        <f>IF(N9&lt;6,"일반",IF(N9&lt;9,"우선",IF(N9&gt;=9,"긴급")))</f>
        <v>일반</v>
      </c>
      <c r="P9" s="12"/>
    </row>
    <row r="10" spans="1:19" x14ac:dyDescent="0.3">
      <c r="A10" s="12">
        <v>2</v>
      </c>
      <c r="B10" s="12" t="s">
        <v>40</v>
      </c>
      <c r="C10" s="12" t="str">
        <f>RIGHT(RawData!$A$2,2)&amp;"-"&amp;RawData!$C$2&amp;"-"&amp;A10</f>
        <v>25-강남구-2</v>
      </c>
      <c r="D10" s="12" t="s">
        <v>26</v>
      </c>
      <c r="E10" s="12" t="s">
        <v>41</v>
      </c>
      <c r="F10" s="12" t="s">
        <v>26</v>
      </c>
      <c r="G10" s="12">
        <v>13.5</v>
      </c>
      <c r="H10" s="12" t="s">
        <v>38</v>
      </c>
      <c r="I10" s="12">
        <f t="shared" ref="I10:I26" si="1">IF(D10="양호",0,IF(AND(D10&gt;=50,D10&lt;100),3,IF(D10&gt;=100,9)))</f>
        <v>0</v>
      </c>
      <c r="J10" s="12">
        <f t="shared" ref="J10:J26" si="2">IF(E10="거북등",3,IF(RIGHT(E10,2)="균열",1,IF(E10="",0)))</f>
        <v>3</v>
      </c>
      <c r="K10" s="12">
        <f t="shared" ref="K10:K26" si="3">IF(F10="유출",9,IF(F10="습윤",1,IF(F10="양호",0)))</f>
        <v>0</v>
      </c>
      <c r="L10" s="12">
        <f t="shared" ref="L10:L26" si="4">IF(G10&lt;10,0,IF(G10&lt;30,1,IF(G10&gt;=30,2)))</f>
        <v>1</v>
      </c>
      <c r="M10" s="12">
        <f t="shared" ref="M10:M26" si="5">IF(H10="-",0,1)</f>
        <v>0</v>
      </c>
      <c r="N10" s="12">
        <f t="shared" si="0"/>
        <v>4</v>
      </c>
      <c r="O10" s="12" t="str">
        <f t="shared" ref="O10:O26" si="6">IF(N10&lt;6,"일반",IF(N10&lt;9,"우선",IF(N10&gt;=9,"긴급")))</f>
        <v>일반</v>
      </c>
      <c r="P10" s="12"/>
    </row>
    <row r="11" spans="1:19" x14ac:dyDescent="0.3">
      <c r="A11" s="12">
        <v>3</v>
      </c>
      <c r="B11" s="12" t="s">
        <v>40</v>
      </c>
      <c r="C11" s="12" t="str">
        <f>RIGHT(RawData!$A$2,2)&amp;"-"&amp;RawData!$C$2&amp;"-"&amp;A11</f>
        <v>25-강남구-3</v>
      </c>
      <c r="D11" s="12" t="s">
        <v>26</v>
      </c>
      <c r="E11" s="12" t="s">
        <v>41</v>
      </c>
      <c r="F11" s="12" t="s">
        <v>26</v>
      </c>
      <c r="G11" s="12">
        <v>13.5</v>
      </c>
      <c r="H11" s="12" t="s">
        <v>38</v>
      </c>
      <c r="I11" s="12">
        <f t="shared" si="1"/>
        <v>0</v>
      </c>
      <c r="J11" s="12">
        <f t="shared" si="2"/>
        <v>3</v>
      </c>
      <c r="K11" s="12">
        <f t="shared" si="3"/>
        <v>0</v>
      </c>
      <c r="L11" s="12">
        <f t="shared" si="4"/>
        <v>1</v>
      </c>
      <c r="M11" s="12">
        <f t="shared" si="5"/>
        <v>0</v>
      </c>
      <c r="N11" s="12">
        <f t="shared" si="0"/>
        <v>4</v>
      </c>
      <c r="O11" s="12" t="str">
        <f t="shared" si="6"/>
        <v>일반</v>
      </c>
      <c r="P11" s="12"/>
    </row>
    <row r="12" spans="1:19" x14ac:dyDescent="0.3">
      <c r="A12" s="12">
        <v>4</v>
      </c>
      <c r="B12" s="12" t="s">
        <v>40</v>
      </c>
      <c r="C12" s="12" t="str">
        <f>RIGHT(RawData!$A$2,2)&amp;"-"&amp;RawData!$C$2&amp;"-"&amp;A12</f>
        <v>25-강남구-4</v>
      </c>
      <c r="D12" s="12" t="s">
        <v>26</v>
      </c>
      <c r="E12" s="12" t="s">
        <v>41</v>
      </c>
      <c r="F12" s="12" t="s">
        <v>26</v>
      </c>
      <c r="G12" s="12">
        <v>13.5</v>
      </c>
      <c r="H12" s="12" t="s">
        <v>38</v>
      </c>
      <c r="I12" s="12">
        <f t="shared" si="1"/>
        <v>0</v>
      </c>
      <c r="J12" s="12">
        <f t="shared" si="2"/>
        <v>3</v>
      </c>
      <c r="K12" s="12">
        <f t="shared" si="3"/>
        <v>0</v>
      </c>
      <c r="L12" s="12">
        <f t="shared" si="4"/>
        <v>1</v>
      </c>
      <c r="M12" s="12">
        <f t="shared" si="5"/>
        <v>0</v>
      </c>
      <c r="N12" s="12">
        <f t="shared" si="0"/>
        <v>4</v>
      </c>
      <c r="O12" s="12" t="str">
        <f t="shared" si="6"/>
        <v>일반</v>
      </c>
      <c r="P12" s="12"/>
    </row>
    <row r="13" spans="1:19" x14ac:dyDescent="0.3">
      <c r="A13" s="12">
        <v>5</v>
      </c>
      <c r="B13" s="12" t="s">
        <v>40</v>
      </c>
      <c r="C13" s="12" t="str">
        <f>RIGHT(RawData!$A$2,2)&amp;"-"&amp;RawData!$C$2&amp;"-"&amp;A13</f>
        <v>25-강남구-5</v>
      </c>
      <c r="D13" s="12" t="s">
        <v>26</v>
      </c>
      <c r="E13" s="12" t="s">
        <v>43</v>
      </c>
      <c r="F13" s="12" t="s">
        <v>26</v>
      </c>
      <c r="G13" s="12">
        <v>13.5</v>
      </c>
      <c r="H13" s="12" t="s">
        <v>38</v>
      </c>
      <c r="I13" s="12">
        <f t="shared" si="1"/>
        <v>0</v>
      </c>
      <c r="J13" s="12">
        <f t="shared" si="2"/>
        <v>1</v>
      </c>
      <c r="K13" s="12">
        <f t="shared" si="3"/>
        <v>0</v>
      </c>
      <c r="L13" s="12">
        <f t="shared" si="4"/>
        <v>1</v>
      </c>
      <c r="M13" s="12">
        <f t="shared" si="5"/>
        <v>0</v>
      </c>
      <c r="N13" s="12">
        <f t="shared" si="0"/>
        <v>2</v>
      </c>
      <c r="O13" s="12" t="str">
        <f t="shared" si="6"/>
        <v>일반</v>
      </c>
      <c r="P13" s="12"/>
    </row>
    <row r="14" spans="1:19" x14ac:dyDescent="0.3">
      <c r="A14" s="12">
        <v>6</v>
      </c>
      <c r="B14" s="12" t="s">
        <v>40</v>
      </c>
      <c r="C14" s="12" t="str">
        <f>RIGHT(RawData!$A$2,2)&amp;"-"&amp;RawData!$C$2&amp;"-"&amp;A14</f>
        <v>25-강남구-6</v>
      </c>
      <c r="D14" s="12" t="s">
        <v>26</v>
      </c>
      <c r="E14" s="12" t="s">
        <v>41</v>
      </c>
      <c r="F14" s="12" t="s">
        <v>26</v>
      </c>
      <c r="G14" s="12">
        <v>13.5</v>
      </c>
      <c r="H14" s="12" t="s">
        <v>38</v>
      </c>
      <c r="I14" s="12">
        <f t="shared" si="1"/>
        <v>0</v>
      </c>
      <c r="J14" s="12">
        <f t="shared" si="2"/>
        <v>3</v>
      </c>
      <c r="K14" s="12">
        <f t="shared" si="3"/>
        <v>0</v>
      </c>
      <c r="L14" s="12">
        <f t="shared" si="4"/>
        <v>1</v>
      </c>
      <c r="M14" s="12">
        <f t="shared" si="5"/>
        <v>0</v>
      </c>
      <c r="N14" s="12">
        <f t="shared" si="0"/>
        <v>4</v>
      </c>
      <c r="O14" s="12" t="str">
        <f t="shared" si="6"/>
        <v>일반</v>
      </c>
      <c r="P14" s="12"/>
    </row>
    <row r="15" spans="1:19" x14ac:dyDescent="0.3">
      <c r="A15" s="12">
        <v>7</v>
      </c>
      <c r="B15" s="12" t="s">
        <v>40</v>
      </c>
      <c r="C15" s="12" t="str">
        <f>RIGHT(RawData!$A$2,2)&amp;"-"&amp;RawData!$C$2&amp;"-"&amp;A15</f>
        <v>25-강남구-7</v>
      </c>
      <c r="D15" s="12" t="s">
        <v>26</v>
      </c>
      <c r="E15" s="12" t="s">
        <v>41</v>
      </c>
      <c r="F15" s="12" t="s">
        <v>26</v>
      </c>
      <c r="G15" s="12">
        <v>13.5</v>
      </c>
      <c r="H15" s="12" t="s">
        <v>38</v>
      </c>
      <c r="I15" s="12">
        <f t="shared" si="1"/>
        <v>0</v>
      </c>
      <c r="J15" s="12">
        <f t="shared" si="2"/>
        <v>3</v>
      </c>
      <c r="K15" s="12">
        <f t="shared" si="3"/>
        <v>0</v>
      </c>
      <c r="L15" s="12">
        <f t="shared" si="4"/>
        <v>1</v>
      </c>
      <c r="M15" s="12">
        <f t="shared" si="5"/>
        <v>0</v>
      </c>
      <c r="N15" s="12">
        <f t="shared" si="0"/>
        <v>4</v>
      </c>
      <c r="O15" s="12" t="str">
        <f t="shared" si="6"/>
        <v>일반</v>
      </c>
      <c r="P15" s="12"/>
    </row>
    <row r="16" spans="1:19" x14ac:dyDescent="0.3">
      <c r="A16" s="12">
        <v>8</v>
      </c>
      <c r="B16" s="12" t="s">
        <v>40</v>
      </c>
      <c r="C16" s="12" t="str">
        <f>RIGHT(RawData!$A$2,2)&amp;"-"&amp;RawData!$C$2&amp;"-"&amp;A16</f>
        <v>25-강남구-8</v>
      </c>
      <c r="D16" s="12" t="s">
        <v>26</v>
      </c>
      <c r="E16" s="12" t="s">
        <v>41</v>
      </c>
      <c r="F16" s="12" t="s">
        <v>26</v>
      </c>
      <c r="G16" s="12">
        <v>13.5</v>
      </c>
      <c r="H16" s="12" t="s">
        <v>38</v>
      </c>
      <c r="I16" s="12">
        <f t="shared" si="1"/>
        <v>0</v>
      </c>
      <c r="J16" s="12">
        <f t="shared" si="2"/>
        <v>3</v>
      </c>
      <c r="K16" s="12">
        <f t="shared" si="3"/>
        <v>0</v>
      </c>
      <c r="L16" s="12">
        <f t="shared" si="4"/>
        <v>1</v>
      </c>
      <c r="M16" s="12">
        <f t="shared" si="5"/>
        <v>0</v>
      </c>
      <c r="N16" s="12">
        <f t="shared" si="0"/>
        <v>4</v>
      </c>
      <c r="O16" s="12" t="str">
        <f t="shared" si="6"/>
        <v>일반</v>
      </c>
      <c r="P16" s="12"/>
    </row>
    <row r="17" spans="1:16" x14ac:dyDescent="0.3">
      <c r="A17" s="12">
        <v>9</v>
      </c>
      <c r="B17" s="12" t="s">
        <v>40</v>
      </c>
      <c r="C17" s="12" t="str">
        <f>RIGHT(RawData!$A$2,2)&amp;"-"&amp;RawData!$C$2&amp;"-"&amp;A17</f>
        <v>25-강남구-9</v>
      </c>
      <c r="D17" s="12" t="s">
        <v>26</v>
      </c>
      <c r="E17" s="12" t="s">
        <v>41</v>
      </c>
      <c r="F17" s="12" t="s">
        <v>26</v>
      </c>
      <c r="G17" s="12">
        <v>13.5</v>
      </c>
      <c r="H17" s="12" t="s">
        <v>38</v>
      </c>
      <c r="I17" s="12">
        <f t="shared" si="1"/>
        <v>0</v>
      </c>
      <c r="J17" s="12">
        <f t="shared" si="2"/>
        <v>3</v>
      </c>
      <c r="K17" s="12">
        <f t="shared" si="3"/>
        <v>0</v>
      </c>
      <c r="L17" s="12">
        <f t="shared" si="4"/>
        <v>1</v>
      </c>
      <c r="M17" s="12">
        <f t="shared" si="5"/>
        <v>0</v>
      </c>
      <c r="N17" s="12">
        <f t="shared" si="0"/>
        <v>4</v>
      </c>
      <c r="O17" s="12" t="str">
        <f t="shared" si="6"/>
        <v>일반</v>
      </c>
      <c r="P17" s="12" t="s">
        <v>44</v>
      </c>
    </row>
    <row r="18" spans="1:16" x14ac:dyDescent="0.3">
      <c r="A18" s="12">
        <v>10</v>
      </c>
      <c r="B18" s="12" t="s">
        <v>40</v>
      </c>
      <c r="C18" s="12" t="str">
        <f>RIGHT(RawData!$A$2,2)&amp;"-"&amp;RawData!$C$2&amp;"-"&amp;A18</f>
        <v>25-강남구-10</v>
      </c>
      <c r="D18" s="12" t="s">
        <v>26</v>
      </c>
      <c r="E18" s="12" t="s">
        <v>41</v>
      </c>
      <c r="F18" s="12" t="s">
        <v>26</v>
      </c>
      <c r="G18" s="12">
        <v>13.5</v>
      </c>
      <c r="H18" s="12" t="s">
        <v>38</v>
      </c>
      <c r="I18" s="12">
        <f t="shared" si="1"/>
        <v>0</v>
      </c>
      <c r="J18" s="12">
        <f t="shared" si="2"/>
        <v>3</v>
      </c>
      <c r="K18" s="12">
        <f t="shared" si="3"/>
        <v>0</v>
      </c>
      <c r="L18" s="12">
        <f t="shared" si="4"/>
        <v>1</v>
      </c>
      <c r="M18" s="12">
        <f t="shared" si="5"/>
        <v>0</v>
      </c>
      <c r="N18" s="12">
        <f t="shared" si="0"/>
        <v>4</v>
      </c>
      <c r="O18" s="12" t="str">
        <f t="shared" si="6"/>
        <v>일반</v>
      </c>
      <c r="P18" s="12"/>
    </row>
    <row r="19" spans="1:16" x14ac:dyDescent="0.3">
      <c r="A19" s="12">
        <v>11</v>
      </c>
      <c r="B19" s="12" t="s">
        <v>40</v>
      </c>
      <c r="C19" s="12" t="str">
        <f>RIGHT(RawData!$A$2,2)&amp;"-"&amp;RawData!$C$2&amp;"-"&amp;A19</f>
        <v>25-강남구-11</v>
      </c>
      <c r="D19" s="12" t="s">
        <v>26</v>
      </c>
      <c r="E19" s="12" t="s">
        <v>41</v>
      </c>
      <c r="F19" s="12" t="s">
        <v>26</v>
      </c>
      <c r="G19" s="12">
        <v>13.5</v>
      </c>
      <c r="H19" s="12" t="s">
        <v>38</v>
      </c>
      <c r="I19" s="12">
        <f t="shared" si="1"/>
        <v>0</v>
      </c>
      <c r="J19" s="12">
        <f t="shared" si="2"/>
        <v>3</v>
      </c>
      <c r="K19" s="12">
        <f t="shared" si="3"/>
        <v>0</v>
      </c>
      <c r="L19" s="12">
        <f t="shared" si="4"/>
        <v>1</v>
      </c>
      <c r="M19" s="12">
        <f t="shared" si="5"/>
        <v>0</v>
      </c>
      <c r="N19" s="12">
        <f t="shared" si="0"/>
        <v>4</v>
      </c>
      <c r="O19" s="12" t="str">
        <f t="shared" si="6"/>
        <v>일반</v>
      </c>
      <c r="P19" s="12"/>
    </row>
    <row r="20" spans="1:16" x14ac:dyDescent="0.3">
      <c r="A20" s="12">
        <v>12</v>
      </c>
      <c r="B20" s="12" t="s">
        <v>40</v>
      </c>
      <c r="C20" s="12" t="str">
        <f>RIGHT(RawData!$A$2,2)&amp;"-"&amp;RawData!$C$2&amp;"-"&amp;A20</f>
        <v>25-강남구-12</v>
      </c>
      <c r="D20" s="12" t="s">
        <v>26</v>
      </c>
      <c r="E20" s="12" t="s">
        <v>41</v>
      </c>
      <c r="F20" s="12" t="s">
        <v>26</v>
      </c>
      <c r="G20" s="12">
        <v>13.5</v>
      </c>
      <c r="H20" s="12" t="s">
        <v>38</v>
      </c>
      <c r="I20" s="12">
        <f t="shared" si="1"/>
        <v>0</v>
      </c>
      <c r="J20" s="12">
        <f t="shared" si="2"/>
        <v>3</v>
      </c>
      <c r="K20" s="12">
        <f t="shared" si="3"/>
        <v>0</v>
      </c>
      <c r="L20" s="12">
        <f t="shared" si="4"/>
        <v>1</v>
      </c>
      <c r="M20" s="12">
        <f t="shared" si="5"/>
        <v>0</v>
      </c>
      <c r="N20" s="12">
        <f t="shared" si="0"/>
        <v>4</v>
      </c>
      <c r="O20" s="12" t="str">
        <f t="shared" si="6"/>
        <v>일반</v>
      </c>
      <c r="P20" s="12"/>
    </row>
    <row r="21" spans="1:16" x14ac:dyDescent="0.3">
      <c r="A21" s="12">
        <v>13</v>
      </c>
      <c r="B21" s="12" t="s">
        <v>40</v>
      </c>
      <c r="C21" s="12" t="str">
        <f>RIGHT(RawData!$A$2,2)&amp;"-"&amp;RawData!$C$2&amp;"-"&amp;A21</f>
        <v>25-강남구-13</v>
      </c>
      <c r="D21" s="12" t="s">
        <v>26</v>
      </c>
      <c r="E21" s="12" t="s">
        <v>41</v>
      </c>
      <c r="F21" s="12" t="s">
        <v>26</v>
      </c>
      <c r="G21" s="12">
        <v>13.5</v>
      </c>
      <c r="H21" s="12" t="s">
        <v>38</v>
      </c>
      <c r="I21" s="12">
        <f t="shared" si="1"/>
        <v>0</v>
      </c>
      <c r="J21" s="12">
        <f t="shared" si="2"/>
        <v>3</v>
      </c>
      <c r="K21" s="12">
        <f t="shared" si="3"/>
        <v>0</v>
      </c>
      <c r="L21" s="12">
        <f t="shared" si="4"/>
        <v>1</v>
      </c>
      <c r="M21" s="12">
        <f t="shared" si="5"/>
        <v>0</v>
      </c>
      <c r="N21" s="12">
        <f t="shared" si="0"/>
        <v>4</v>
      </c>
      <c r="O21" s="12" t="str">
        <f t="shared" si="6"/>
        <v>일반</v>
      </c>
      <c r="P21" s="12"/>
    </row>
    <row r="22" spans="1:16" x14ac:dyDescent="0.3">
      <c r="A22" s="12">
        <v>14</v>
      </c>
      <c r="B22" s="12" t="s">
        <v>40</v>
      </c>
      <c r="C22" s="12" t="str">
        <f>RIGHT(RawData!$A$2,2)&amp;"-"&amp;RawData!$C$2&amp;"-"&amp;A22</f>
        <v>25-강남구-14</v>
      </c>
      <c r="D22" s="12" t="s">
        <v>26</v>
      </c>
      <c r="E22" s="12" t="s">
        <v>43</v>
      </c>
      <c r="F22" s="12" t="s">
        <v>26</v>
      </c>
      <c r="G22" s="12">
        <v>13.5</v>
      </c>
      <c r="H22" s="12" t="s">
        <v>38</v>
      </c>
      <c r="I22" s="12">
        <f t="shared" si="1"/>
        <v>0</v>
      </c>
      <c r="J22" s="12">
        <f t="shared" si="2"/>
        <v>1</v>
      </c>
      <c r="K22" s="12">
        <f t="shared" si="3"/>
        <v>0</v>
      </c>
      <c r="L22" s="12">
        <f t="shared" si="4"/>
        <v>1</v>
      </c>
      <c r="M22" s="12">
        <f t="shared" si="5"/>
        <v>0</v>
      </c>
      <c r="N22" s="12">
        <f t="shared" si="0"/>
        <v>2</v>
      </c>
      <c r="O22" s="12" t="str">
        <f t="shared" si="6"/>
        <v>일반</v>
      </c>
      <c r="P22" s="12"/>
    </row>
    <row r="23" spans="1:16" x14ac:dyDescent="0.3">
      <c r="A23" s="12">
        <v>15</v>
      </c>
      <c r="B23" s="12" t="s">
        <v>40</v>
      </c>
      <c r="C23" s="12" t="str">
        <f>RIGHT(RawData!$A$2,2)&amp;"-"&amp;RawData!$C$2&amp;"-"&amp;A23</f>
        <v>25-강남구-15</v>
      </c>
      <c r="D23" s="12" t="s">
        <v>26</v>
      </c>
      <c r="E23" s="12" t="s">
        <v>41</v>
      </c>
      <c r="F23" s="12" t="s">
        <v>26</v>
      </c>
      <c r="G23" s="12">
        <v>13.5</v>
      </c>
      <c r="H23" s="12" t="s">
        <v>38</v>
      </c>
      <c r="I23" s="12">
        <f t="shared" si="1"/>
        <v>0</v>
      </c>
      <c r="J23" s="12">
        <f t="shared" si="2"/>
        <v>3</v>
      </c>
      <c r="K23" s="12">
        <f t="shared" si="3"/>
        <v>0</v>
      </c>
      <c r="L23" s="12">
        <f t="shared" si="4"/>
        <v>1</v>
      </c>
      <c r="M23" s="12">
        <f t="shared" si="5"/>
        <v>0</v>
      </c>
      <c r="N23" s="12">
        <f t="shared" si="0"/>
        <v>4</v>
      </c>
      <c r="O23" s="12" t="str">
        <f t="shared" si="6"/>
        <v>일반</v>
      </c>
      <c r="P23" s="12"/>
    </row>
    <row r="24" spans="1:16" x14ac:dyDescent="0.3">
      <c r="A24" s="12">
        <v>16</v>
      </c>
      <c r="B24" s="12" t="s">
        <v>40</v>
      </c>
      <c r="C24" s="12" t="str">
        <f>RIGHT(RawData!$A$2,2)&amp;"-"&amp;RawData!$C$2&amp;"-"&amp;A24</f>
        <v>25-강남구-16</v>
      </c>
      <c r="D24" s="12" t="s">
        <v>26</v>
      </c>
      <c r="E24" s="12" t="s">
        <v>41</v>
      </c>
      <c r="F24" s="12" t="s">
        <v>26</v>
      </c>
      <c r="G24" s="12">
        <v>13.5</v>
      </c>
      <c r="H24" s="12" t="s">
        <v>38</v>
      </c>
      <c r="I24" s="12">
        <f t="shared" si="1"/>
        <v>0</v>
      </c>
      <c r="J24" s="12">
        <f t="shared" si="2"/>
        <v>3</v>
      </c>
      <c r="K24" s="12">
        <f t="shared" si="3"/>
        <v>0</v>
      </c>
      <c r="L24" s="12">
        <f t="shared" si="4"/>
        <v>1</v>
      </c>
      <c r="M24" s="12">
        <f t="shared" si="5"/>
        <v>0</v>
      </c>
      <c r="N24" s="12">
        <f t="shared" si="0"/>
        <v>4</v>
      </c>
      <c r="O24" s="12" t="str">
        <f t="shared" si="6"/>
        <v>일반</v>
      </c>
      <c r="P24" s="12"/>
    </row>
    <row r="25" spans="1:16" x14ac:dyDescent="0.3">
      <c r="A25" s="12">
        <v>17</v>
      </c>
      <c r="B25" s="12" t="s">
        <v>40</v>
      </c>
      <c r="C25" s="12" t="str">
        <f>RIGHT(RawData!$A$2,2)&amp;"-"&amp;RawData!$C$2&amp;"-"&amp;A25</f>
        <v>25-강남구-17</v>
      </c>
      <c r="D25" s="12" t="s">
        <v>26</v>
      </c>
      <c r="E25" s="12" t="s">
        <v>41</v>
      </c>
      <c r="F25" s="12" t="s">
        <v>26</v>
      </c>
      <c r="G25" s="12">
        <v>13.5</v>
      </c>
      <c r="H25" s="12" t="s">
        <v>38</v>
      </c>
      <c r="I25" s="12">
        <f t="shared" si="1"/>
        <v>0</v>
      </c>
      <c r="J25" s="12">
        <f t="shared" si="2"/>
        <v>3</v>
      </c>
      <c r="K25" s="12">
        <f t="shared" si="3"/>
        <v>0</v>
      </c>
      <c r="L25" s="12">
        <f t="shared" si="4"/>
        <v>1</v>
      </c>
      <c r="M25" s="12">
        <f t="shared" si="5"/>
        <v>0</v>
      </c>
      <c r="N25" s="12">
        <f t="shared" si="0"/>
        <v>4</v>
      </c>
      <c r="O25" s="12" t="str">
        <f t="shared" si="6"/>
        <v>일반</v>
      </c>
      <c r="P25" s="12"/>
    </row>
    <row r="26" spans="1:16" x14ac:dyDescent="0.3">
      <c r="A26" s="12">
        <v>18</v>
      </c>
      <c r="B26" s="12" t="s">
        <v>40</v>
      </c>
      <c r="C26" s="12" t="str">
        <f>RIGHT(RawData!$A$2,2)&amp;"-"&amp;RawData!$C$2&amp;"-"&amp;A26</f>
        <v>25-강남구-18</v>
      </c>
      <c r="D26" s="12" t="s">
        <v>26</v>
      </c>
      <c r="E26" s="12" t="s">
        <v>41</v>
      </c>
      <c r="F26" s="12" t="s">
        <v>26</v>
      </c>
      <c r="G26" s="12">
        <v>13.5</v>
      </c>
      <c r="H26" s="12" t="s">
        <v>38</v>
      </c>
      <c r="I26" s="12">
        <f t="shared" si="1"/>
        <v>0</v>
      </c>
      <c r="J26" s="12">
        <f t="shared" si="2"/>
        <v>3</v>
      </c>
      <c r="K26" s="12">
        <f t="shared" si="3"/>
        <v>0</v>
      </c>
      <c r="L26" s="12">
        <f t="shared" si="4"/>
        <v>1</v>
      </c>
      <c r="M26" s="12">
        <f t="shared" si="5"/>
        <v>0</v>
      </c>
      <c r="N26" s="12">
        <f t="shared" si="0"/>
        <v>4</v>
      </c>
      <c r="O26" s="12" t="str">
        <f t="shared" si="6"/>
        <v>일반</v>
      </c>
      <c r="P26" s="12"/>
    </row>
    <row r="27" spans="1:16" ht="6.75" customHeight="1" x14ac:dyDescent="0.3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1:16" x14ac:dyDescent="0.3">
      <c r="A28" s="14" t="s">
        <v>67</v>
      </c>
      <c r="B28" s="13"/>
    </row>
  </sheetData>
  <mergeCells count="20">
    <mergeCell ref="M4:P4"/>
    <mergeCell ref="G5:I5"/>
    <mergeCell ref="G4:I4"/>
    <mergeCell ref="E4:F4"/>
    <mergeCell ref="E5:F5"/>
    <mergeCell ref="M5:P5"/>
    <mergeCell ref="J5:L5"/>
    <mergeCell ref="J4:L4"/>
    <mergeCell ref="N7:N8"/>
    <mergeCell ref="O7:O8"/>
    <mergeCell ref="D7:H7"/>
    <mergeCell ref="I7:M7"/>
    <mergeCell ref="P7:P8"/>
    <mergeCell ref="A5:B5"/>
    <mergeCell ref="A4:B4"/>
    <mergeCell ref="C4:D4"/>
    <mergeCell ref="C5:D5"/>
    <mergeCell ref="A7:A8"/>
    <mergeCell ref="B7:B8"/>
    <mergeCell ref="C7:C8"/>
  </mergeCells>
  <phoneticPr fontId="1" type="noConversion"/>
  <pageMargins left="0.7" right="0.7" top="0.75" bottom="0.75" header="0.3" footer="0.3"/>
  <pageSetup paperSize="9" scale="8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D25EC-E4EE-40E9-82E2-E0F7FB326B90}">
  <dimension ref="A1:L9"/>
  <sheetViews>
    <sheetView zoomScaleNormal="100" workbookViewId="0">
      <selection activeCell="G4" sqref="G4"/>
    </sheetView>
  </sheetViews>
  <sheetFormatPr defaultColWidth="10.375" defaultRowHeight="12" x14ac:dyDescent="0.3"/>
  <cols>
    <col min="1" max="16384" width="10.375" style="1"/>
  </cols>
  <sheetData>
    <row r="1" spans="1:12" x14ac:dyDescent="0.3">
      <c r="A1" s="1" t="s">
        <v>0</v>
      </c>
      <c r="B1" s="1" t="s">
        <v>1</v>
      </c>
      <c r="C1" s="1" t="s">
        <v>5</v>
      </c>
      <c r="F1" s="1" t="s">
        <v>26</v>
      </c>
      <c r="G1" s="1" t="s">
        <v>27</v>
      </c>
      <c r="H1" s="1" t="s">
        <v>28</v>
      </c>
      <c r="J1" s="1" t="s">
        <v>33</v>
      </c>
      <c r="K1" s="1" t="s">
        <v>22</v>
      </c>
      <c r="L1" s="1" t="s">
        <v>37</v>
      </c>
    </row>
    <row r="2" spans="1:12" x14ac:dyDescent="0.3">
      <c r="A2" s="1">
        <v>2018</v>
      </c>
      <c r="B2" s="1" t="s">
        <v>2</v>
      </c>
      <c r="C2" s="1" t="s">
        <v>6</v>
      </c>
      <c r="E2" s="1" t="s">
        <v>14</v>
      </c>
      <c r="F2" s="1">
        <v>0</v>
      </c>
      <c r="G2" s="1">
        <v>3</v>
      </c>
      <c r="H2" s="1">
        <v>9</v>
      </c>
      <c r="J2" s="1" t="s">
        <v>30</v>
      </c>
      <c r="K2" s="1" t="s">
        <v>34</v>
      </c>
      <c r="L2" s="1" t="s">
        <v>38</v>
      </c>
    </row>
    <row r="3" spans="1:12" x14ac:dyDescent="0.3">
      <c r="A3" s="1">
        <v>2019</v>
      </c>
      <c r="B3" s="1" t="s">
        <v>3</v>
      </c>
      <c r="C3" s="1" t="s">
        <v>7</v>
      </c>
      <c r="E3" s="1" t="s">
        <v>15</v>
      </c>
      <c r="F3" s="1">
        <v>0</v>
      </c>
      <c r="G3" s="1">
        <v>1</v>
      </c>
      <c r="H3" s="1">
        <v>3</v>
      </c>
      <c r="J3" s="1" t="s">
        <v>31</v>
      </c>
      <c r="K3" s="1" t="s">
        <v>35</v>
      </c>
      <c r="L3" s="1" t="s">
        <v>39</v>
      </c>
    </row>
    <row r="4" spans="1:12" x14ac:dyDescent="0.3">
      <c r="A4" s="1">
        <v>2020</v>
      </c>
      <c r="B4" s="1" t="s">
        <v>4</v>
      </c>
      <c r="C4" s="1" t="s">
        <v>8</v>
      </c>
      <c r="E4" s="1" t="s">
        <v>16</v>
      </c>
      <c r="F4" s="1">
        <v>0</v>
      </c>
      <c r="G4" s="3" t="s">
        <v>29</v>
      </c>
      <c r="H4" s="1">
        <v>9</v>
      </c>
      <c r="J4" s="1" t="s">
        <v>32</v>
      </c>
      <c r="K4" s="1" t="s">
        <v>36</v>
      </c>
      <c r="L4" s="1" t="s">
        <v>39</v>
      </c>
    </row>
    <row r="5" spans="1:12" x14ac:dyDescent="0.3">
      <c r="A5" s="1">
        <v>2021</v>
      </c>
      <c r="C5" s="1" t="s">
        <v>9</v>
      </c>
      <c r="E5" s="1" t="s">
        <v>19</v>
      </c>
      <c r="F5" s="1">
        <v>0</v>
      </c>
      <c r="G5" s="1">
        <v>1</v>
      </c>
      <c r="H5" s="1">
        <v>2</v>
      </c>
    </row>
    <row r="6" spans="1:12" x14ac:dyDescent="0.3">
      <c r="A6" s="1">
        <v>2022</v>
      </c>
      <c r="C6" s="1" t="s">
        <v>10</v>
      </c>
      <c r="E6" s="1" t="s">
        <v>25</v>
      </c>
      <c r="F6" s="1">
        <v>0</v>
      </c>
      <c r="G6" s="1">
        <v>1</v>
      </c>
      <c r="H6" s="1">
        <v>1</v>
      </c>
    </row>
    <row r="7" spans="1:12" x14ac:dyDescent="0.3">
      <c r="A7" s="1">
        <v>2023</v>
      </c>
    </row>
    <row r="8" spans="1:12" x14ac:dyDescent="0.3">
      <c r="A8" s="1">
        <v>2024</v>
      </c>
    </row>
    <row r="9" spans="1:12" x14ac:dyDescent="0.3">
      <c r="A9" s="1">
        <v>2025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 지정된 범위</vt:lpstr>
      </vt:variant>
      <vt:variant>
        <vt:i4>3</vt:i4>
      </vt:variant>
    </vt:vector>
  </HeadingPairs>
  <TitlesOfParts>
    <vt:vector size="7" baseType="lpstr">
      <vt:lpstr>RawData</vt:lpstr>
      <vt:lpstr>V1</vt:lpstr>
      <vt:lpstr>V2</vt:lpstr>
      <vt:lpstr>범례</vt:lpstr>
      <vt:lpstr>'V1'!Print_Area</vt:lpstr>
      <vt:lpstr>'V2'!Print_Area</vt:lpstr>
      <vt:lpstr>'V1'!Print_Titles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2026-03-16T02:30:46Z</cp:lastPrinted>
  <dcterms:created xsi:type="dcterms:W3CDTF">2026-03-16T00:57:17Z</dcterms:created>
  <dcterms:modified xsi:type="dcterms:W3CDTF">2026-03-24T04:16:47Z</dcterms:modified>
</cp:coreProperties>
</file>