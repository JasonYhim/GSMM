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A3C01BC4-C36E-454E-9680-D3DB49F23AC3}" xr6:coauthVersionLast="47" xr6:coauthVersionMax="47" xr10:uidLastSave="{00000000-0000-0000-0000-000000000000}"/>
  <bookViews>
    <workbookView xWindow="22932" yWindow="-96" windowWidth="23256" windowHeight="13176" xr2:uid="{00000000-000D-0000-FFFF-FFFF00000000}"/>
  </bookViews>
  <sheets>
    <sheet name="RawData" sheetId="1" r:id="rId1"/>
    <sheet name="V2" sheetId="2" r:id="rId2"/>
  </sheets>
  <externalReferences>
    <externalReference r:id="rId3"/>
  </externalReferences>
  <definedNames>
    <definedName name="_xlnm.Print_Area" localSheetId="1">'V2'!$A$1:$P$80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A34" i="2"/>
  <c r="B34" i="2"/>
  <c r="C34" i="2"/>
  <c r="D34" i="2"/>
  <c r="E34" i="2"/>
  <c r="J34" i="2" s="1"/>
  <c r="F34" i="2"/>
  <c r="G34" i="2"/>
  <c r="L34" i="2" s="1"/>
  <c r="H34" i="2"/>
  <c r="M34" i="2" s="1"/>
  <c r="I34" i="2"/>
  <c r="K34" i="2"/>
  <c r="P34" i="2"/>
  <c r="A35" i="2"/>
  <c r="B35" i="2"/>
  <c r="C35" i="2"/>
  <c r="D35" i="2"/>
  <c r="I35" i="2" s="1"/>
  <c r="E35" i="2"/>
  <c r="J35" i="2" s="1"/>
  <c r="F35" i="2"/>
  <c r="K35" i="2" s="1"/>
  <c r="G35" i="2"/>
  <c r="L35" i="2" s="1"/>
  <c r="H35" i="2"/>
  <c r="M35" i="2"/>
  <c r="N35" i="2"/>
  <c r="O35" i="2" s="1"/>
  <c r="P35" i="2"/>
  <c r="A36" i="2"/>
  <c r="B36" i="2"/>
  <c r="C36" i="2"/>
  <c r="D36" i="2"/>
  <c r="E36" i="2"/>
  <c r="F36" i="2"/>
  <c r="K36" i="2" s="1"/>
  <c r="G36" i="2"/>
  <c r="L36" i="2" s="1"/>
  <c r="H36" i="2"/>
  <c r="M36" i="2" s="1"/>
  <c r="I36" i="2"/>
  <c r="J36" i="2"/>
  <c r="P36" i="2"/>
  <c r="A37" i="2"/>
  <c r="B37" i="2"/>
  <c r="C37" i="2"/>
  <c r="D37" i="2"/>
  <c r="E37" i="2"/>
  <c r="J37" i="2" s="1"/>
  <c r="F37" i="2"/>
  <c r="K37" i="2" s="1"/>
  <c r="G37" i="2"/>
  <c r="L37" i="2" s="1"/>
  <c r="H37" i="2"/>
  <c r="M37" i="2" s="1"/>
  <c r="I37" i="2"/>
  <c r="P37" i="2"/>
  <c r="A38" i="2"/>
  <c r="B38" i="2"/>
  <c r="C38" i="2"/>
  <c r="D38" i="2"/>
  <c r="I38" i="2" s="1"/>
  <c r="E38" i="2"/>
  <c r="J38" i="2" s="1"/>
  <c r="F38" i="2"/>
  <c r="K38" i="2" s="1"/>
  <c r="G38" i="2"/>
  <c r="L38" i="2" s="1"/>
  <c r="H38" i="2"/>
  <c r="M38" i="2"/>
  <c r="P38" i="2"/>
  <c r="A39" i="2"/>
  <c r="B39" i="2"/>
  <c r="C39" i="2"/>
  <c r="D39" i="2"/>
  <c r="I39" i="2" s="1"/>
  <c r="E39" i="2"/>
  <c r="J39" i="2" s="1"/>
  <c r="F39" i="2"/>
  <c r="K39" i="2" s="1"/>
  <c r="G39" i="2"/>
  <c r="H39" i="2"/>
  <c r="L39" i="2"/>
  <c r="M39" i="2"/>
  <c r="P39" i="2"/>
  <c r="A40" i="2"/>
  <c r="B40" i="2"/>
  <c r="C40" i="2"/>
  <c r="D40" i="2"/>
  <c r="I40" i="2" s="1"/>
  <c r="E40" i="2"/>
  <c r="J40" i="2" s="1"/>
  <c r="F40" i="2"/>
  <c r="G40" i="2"/>
  <c r="H40" i="2"/>
  <c r="M40" i="2" s="1"/>
  <c r="K40" i="2"/>
  <c r="L40" i="2"/>
  <c r="P40" i="2"/>
  <c r="A41" i="2"/>
  <c r="B41" i="2"/>
  <c r="C41" i="2"/>
  <c r="D41" i="2"/>
  <c r="I41" i="2" s="1"/>
  <c r="E41" i="2"/>
  <c r="J41" i="2" s="1"/>
  <c r="F41" i="2"/>
  <c r="K41" i="2" s="1"/>
  <c r="G41" i="2"/>
  <c r="L41" i="2" s="1"/>
  <c r="H41" i="2"/>
  <c r="M41" i="2" s="1"/>
  <c r="P41" i="2"/>
  <c r="A42" i="2"/>
  <c r="B42" i="2"/>
  <c r="C42" i="2"/>
  <c r="D42" i="2"/>
  <c r="I42" i="2" s="1"/>
  <c r="E42" i="2"/>
  <c r="J42" i="2" s="1"/>
  <c r="F42" i="2"/>
  <c r="G42" i="2"/>
  <c r="L42" i="2" s="1"/>
  <c r="H42" i="2"/>
  <c r="M42" i="2" s="1"/>
  <c r="K42" i="2"/>
  <c r="P42" i="2"/>
  <c r="A43" i="2"/>
  <c r="B43" i="2"/>
  <c r="C43" i="2"/>
  <c r="D43" i="2"/>
  <c r="I43" i="2" s="1"/>
  <c r="E43" i="2"/>
  <c r="J43" i="2" s="1"/>
  <c r="F43" i="2"/>
  <c r="K43" i="2" s="1"/>
  <c r="G43" i="2"/>
  <c r="L43" i="2" s="1"/>
  <c r="H43" i="2"/>
  <c r="M43" i="2" s="1"/>
  <c r="P43" i="2"/>
  <c r="A44" i="2"/>
  <c r="B44" i="2"/>
  <c r="C44" i="2"/>
  <c r="D44" i="2"/>
  <c r="I44" i="2" s="1"/>
  <c r="E44" i="2"/>
  <c r="J44" i="2" s="1"/>
  <c r="F44" i="2"/>
  <c r="K44" i="2" s="1"/>
  <c r="G44" i="2"/>
  <c r="L44" i="2" s="1"/>
  <c r="H44" i="2"/>
  <c r="M44" i="2" s="1"/>
  <c r="P44" i="2"/>
  <c r="A45" i="2"/>
  <c r="B45" i="2"/>
  <c r="C45" i="2"/>
  <c r="D45" i="2"/>
  <c r="I45" i="2" s="1"/>
  <c r="E45" i="2"/>
  <c r="J45" i="2" s="1"/>
  <c r="F45" i="2"/>
  <c r="K45" i="2" s="1"/>
  <c r="G45" i="2"/>
  <c r="L45" i="2" s="1"/>
  <c r="H45" i="2"/>
  <c r="M45" i="2" s="1"/>
  <c r="P45" i="2"/>
  <c r="A46" i="2"/>
  <c r="B46" i="2"/>
  <c r="C46" i="2"/>
  <c r="D46" i="2"/>
  <c r="I46" i="2" s="1"/>
  <c r="E46" i="2"/>
  <c r="J46" i="2" s="1"/>
  <c r="F46" i="2"/>
  <c r="K46" i="2" s="1"/>
  <c r="G46" i="2"/>
  <c r="L46" i="2" s="1"/>
  <c r="H46" i="2"/>
  <c r="M46" i="2" s="1"/>
  <c r="P46" i="2"/>
  <c r="A47" i="2"/>
  <c r="B47" i="2"/>
  <c r="C47" i="2"/>
  <c r="D47" i="2"/>
  <c r="I47" i="2" s="1"/>
  <c r="E47" i="2"/>
  <c r="J47" i="2" s="1"/>
  <c r="F47" i="2"/>
  <c r="K47" i="2" s="1"/>
  <c r="G47" i="2"/>
  <c r="L47" i="2" s="1"/>
  <c r="H47" i="2"/>
  <c r="M47" i="2" s="1"/>
  <c r="P47" i="2"/>
  <c r="A48" i="2"/>
  <c r="B48" i="2"/>
  <c r="C48" i="2"/>
  <c r="D48" i="2"/>
  <c r="I48" i="2" s="1"/>
  <c r="E48" i="2"/>
  <c r="J48" i="2" s="1"/>
  <c r="F48" i="2"/>
  <c r="K48" i="2" s="1"/>
  <c r="G48" i="2"/>
  <c r="L48" i="2" s="1"/>
  <c r="H48" i="2"/>
  <c r="M48" i="2" s="1"/>
  <c r="P48" i="2"/>
  <c r="A49" i="2"/>
  <c r="B49" i="2"/>
  <c r="C49" i="2"/>
  <c r="D49" i="2"/>
  <c r="I49" i="2" s="1"/>
  <c r="E49" i="2"/>
  <c r="J49" i="2" s="1"/>
  <c r="F49" i="2"/>
  <c r="K49" i="2" s="1"/>
  <c r="G49" i="2"/>
  <c r="L49" i="2" s="1"/>
  <c r="H49" i="2"/>
  <c r="M49" i="2" s="1"/>
  <c r="P49" i="2"/>
  <c r="A50" i="2"/>
  <c r="B50" i="2"/>
  <c r="C50" i="2"/>
  <c r="D50" i="2"/>
  <c r="I50" i="2" s="1"/>
  <c r="E50" i="2"/>
  <c r="J50" i="2" s="1"/>
  <c r="F50" i="2"/>
  <c r="K50" i="2" s="1"/>
  <c r="G50" i="2"/>
  <c r="L50" i="2" s="1"/>
  <c r="H50" i="2"/>
  <c r="M50" i="2" s="1"/>
  <c r="P50" i="2"/>
  <c r="A51" i="2"/>
  <c r="B51" i="2"/>
  <c r="C51" i="2"/>
  <c r="D51" i="2"/>
  <c r="E51" i="2"/>
  <c r="J51" i="2" s="1"/>
  <c r="F51" i="2"/>
  <c r="K51" i="2" s="1"/>
  <c r="G51" i="2"/>
  <c r="L51" i="2" s="1"/>
  <c r="H51" i="2"/>
  <c r="M51" i="2" s="1"/>
  <c r="I51" i="2"/>
  <c r="P51" i="2"/>
  <c r="A52" i="2"/>
  <c r="B52" i="2"/>
  <c r="C52" i="2"/>
  <c r="D52" i="2"/>
  <c r="I52" i="2" s="1"/>
  <c r="E52" i="2"/>
  <c r="J52" i="2" s="1"/>
  <c r="F52" i="2"/>
  <c r="K52" i="2" s="1"/>
  <c r="G52" i="2"/>
  <c r="L52" i="2" s="1"/>
  <c r="H52" i="2"/>
  <c r="M52" i="2" s="1"/>
  <c r="P52" i="2"/>
  <c r="A53" i="2"/>
  <c r="B53" i="2"/>
  <c r="C53" i="2"/>
  <c r="D53" i="2"/>
  <c r="I53" i="2" s="1"/>
  <c r="E53" i="2"/>
  <c r="J53" i="2" s="1"/>
  <c r="F53" i="2"/>
  <c r="K53" i="2" s="1"/>
  <c r="G53" i="2"/>
  <c r="L53" i="2" s="1"/>
  <c r="H53" i="2"/>
  <c r="M53" i="2" s="1"/>
  <c r="P53" i="2"/>
  <c r="A54" i="2"/>
  <c r="B54" i="2"/>
  <c r="C54" i="2"/>
  <c r="D54" i="2"/>
  <c r="I54" i="2" s="1"/>
  <c r="E54" i="2"/>
  <c r="J54" i="2" s="1"/>
  <c r="F54" i="2"/>
  <c r="K54" i="2" s="1"/>
  <c r="G54" i="2"/>
  <c r="H54" i="2"/>
  <c r="M54" i="2" s="1"/>
  <c r="L54" i="2"/>
  <c r="P54" i="2"/>
  <c r="A55" i="2"/>
  <c r="B55" i="2"/>
  <c r="C55" i="2"/>
  <c r="D55" i="2"/>
  <c r="I55" i="2" s="1"/>
  <c r="E55" i="2"/>
  <c r="J55" i="2" s="1"/>
  <c r="F55" i="2"/>
  <c r="K55" i="2" s="1"/>
  <c r="G55" i="2"/>
  <c r="H55" i="2"/>
  <c r="M55" i="2" s="1"/>
  <c r="L55" i="2"/>
  <c r="P55" i="2"/>
  <c r="A56" i="2"/>
  <c r="B56" i="2"/>
  <c r="C56" i="2"/>
  <c r="D56" i="2"/>
  <c r="I56" i="2" s="1"/>
  <c r="E56" i="2"/>
  <c r="J56" i="2" s="1"/>
  <c r="F56" i="2"/>
  <c r="K56" i="2" s="1"/>
  <c r="G56" i="2"/>
  <c r="L56" i="2" s="1"/>
  <c r="H56" i="2"/>
  <c r="M56" i="2"/>
  <c r="P56" i="2"/>
  <c r="A57" i="2"/>
  <c r="B57" i="2"/>
  <c r="C57" i="2"/>
  <c r="D57" i="2"/>
  <c r="I57" i="2" s="1"/>
  <c r="E57" i="2"/>
  <c r="J57" i="2" s="1"/>
  <c r="F57" i="2"/>
  <c r="K57" i="2" s="1"/>
  <c r="G57" i="2"/>
  <c r="L57" i="2" s="1"/>
  <c r="H57" i="2"/>
  <c r="M57" i="2" s="1"/>
  <c r="P57" i="2"/>
  <c r="A58" i="2"/>
  <c r="B58" i="2"/>
  <c r="C58" i="2"/>
  <c r="D58" i="2"/>
  <c r="I58" i="2" s="1"/>
  <c r="E58" i="2"/>
  <c r="J58" i="2" s="1"/>
  <c r="F58" i="2"/>
  <c r="K58" i="2" s="1"/>
  <c r="G58" i="2"/>
  <c r="L58" i="2" s="1"/>
  <c r="H58" i="2"/>
  <c r="M58" i="2" s="1"/>
  <c r="P58" i="2"/>
  <c r="A59" i="2"/>
  <c r="B59" i="2"/>
  <c r="C59" i="2"/>
  <c r="D59" i="2"/>
  <c r="I59" i="2" s="1"/>
  <c r="E59" i="2"/>
  <c r="J59" i="2" s="1"/>
  <c r="F59" i="2"/>
  <c r="K59" i="2" s="1"/>
  <c r="G59" i="2"/>
  <c r="L59" i="2" s="1"/>
  <c r="H59" i="2"/>
  <c r="M59" i="2" s="1"/>
  <c r="P59" i="2"/>
  <c r="A60" i="2"/>
  <c r="B60" i="2"/>
  <c r="C60" i="2"/>
  <c r="D60" i="2"/>
  <c r="I60" i="2" s="1"/>
  <c r="E60" i="2"/>
  <c r="J60" i="2" s="1"/>
  <c r="F60" i="2"/>
  <c r="K60" i="2" s="1"/>
  <c r="G60" i="2"/>
  <c r="L60" i="2" s="1"/>
  <c r="H60" i="2"/>
  <c r="M60" i="2" s="1"/>
  <c r="P60" i="2"/>
  <c r="A61" i="2"/>
  <c r="B61" i="2"/>
  <c r="C61" i="2"/>
  <c r="D61" i="2"/>
  <c r="I61" i="2" s="1"/>
  <c r="E61" i="2"/>
  <c r="J61" i="2" s="1"/>
  <c r="F61" i="2"/>
  <c r="K61" i="2" s="1"/>
  <c r="G61" i="2"/>
  <c r="L61" i="2" s="1"/>
  <c r="H61" i="2"/>
  <c r="M61" i="2" s="1"/>
  <c r="P61" i="2"/>
  <c r="A62" i="2"/>
  <c r="B62" i="2"/>
  <c r="C62" i="2"/>
  <c r="D62" i="2"/>
  <c r="I62" i="2" s="1"/>
  <c r="E62" i="2"/>
  <c r="J62" i="2" s="1"/>
  <c r="F62" i="2"/>
  <c r="K62" i="2" s="1"/>
  <c r="G62" i="2"/>
  <c r="L62" i="2" s="1"/>
  <c r="H62" i="2"/>
  <c r="M62" i="2" s="1"/>
  <c r="P62" i="2"/>
  <c r="A63" i="2"/>
  <c r="B63" i="2"/>
  <c r="C63" i="2"/>
  <c r="D63" i="2"/>
  <c r="I63" i="2" s="1"/>
  <c r="E63" i="2"/>
  <c r="J63" i="2" s="1"/>
  <c r="F63" i="2"/>
  <c r="K63" i="2" s="1"/>
  <c r="G63" i="2"/>
  <c r="H63" i="2"/>
  <c r="M63" i="2" s="1"/>
  <c r="L63" i="2"/>
  <c r="P63" i="2"/>
  <c r="A64" i="2"/>
  <c r="B64" i="2"/>
  <c r="C64" i="2"/>
  <c r="D64" i="2"/>
  <c r="I64" i="2" s="1"/>
  <c r="E64" i="2"/>
  <c r="F64" i="2"/>
  <c r="K64" i="2" s="1"/>
  <c r="G64" i="2"/>
  <c r="L64" i="2" s="1"/>
  <c r="H64" i="2"/>
  <c r="M64" i="2" s="1"/>
  <c r="J64" i="2"/>
  <c r="P64" i="2"/>
  <c r="A65" i="2"/>
  <c r="B65" i="2"/>
  <c r="C65" i="2"/>
  <c r="D65" i="2"/>
  <c r="I65" i="2" s="1"/>
  <c r="E65" i="2"/>
  <c r="J65" i="2" s="1"/>
  <c r="F65" i="2"/>
  <c r="K65" i="2" s="1"/>
  <c r="G65" i="2"/>
  <c r="L65" i="2" s="1"/>
  <c r="H65" i="2"/>
  <c r="M65" i="2"/>
  <c r="P65" i="2"/>
  <c r="A66" i="2"/>
  <c r="B66" i="2"/>
  <c r="C66" i="2"/>
  <c r="D66" i="2"/>
  <c r="I66" i="2" s="1"/>
  <c r="E66" i="2"/>
  <c r="J66" i="2" s="1"/>
  <c r="F66" i="2"/>
  <c r="K66" i="2" s="1"/>
  <c r="G66" i="2"/>
  <c r="L66" i="2" s="1"/>
  <c r="H66" i="2"/>
  <c r="M66" i="2" s="1"/>
  <c r="P66" i="2"/>
  <c r="A67" i="2"/>
  <c r="B67" i="2"/>
  <c r="C67" i="2"/>
  <c r="D67" i="2"/>
  <c r="I67" i="2" s="1"/>
  <c r="E67" i="2"/>
  <c r="J67" i="2" s="1"/>
  <c r="F67" i="2"/>
  <c r="K67" i="2" s="1"/>
  <c r="G67" i="2"/>
  <c r="L67" i="2" s="1"/>
  <c r="H67" i="2"/>
  <c r="M67" i="2" s="1"/>
  <c r="P67" i="2"/>
  <c r="A68" i="2"/>
  <c r="B68" i="2"/>
  <c r="C68" i="2"/>
  <c r="D68" i="2"/>
  <c r="I68" i="2" s="1"/>
  <c r="E68" i="2"/>
  <c r="J68" i="2" s="1"/>
  <c r="F68" i="2"/>
  <c r="K68" i="2" s="1"/>
  <c r="G68" i="2"/>
  <c r="L68" i="2" s="1"/>
  <c r="H68" i="2"/>
  <c r="M68" i="2" s="1"/>
  <c r="P68" i="2"/>
  <c r="A69" i="2"/>
  <c r="B69" i="2"/>
  <c r="C69" i="2"/>
  <c r="D69" i="2"/>
  <c r="I69" i="2" s="1"/>
  <c r="E69" i="2"/>
  <c r="J69" i="2" s="1"/>
  <c r="F69" i="2"/>
  <c r="K69" i="2" s="1"/>
  <c r="G69" i="2"/>
  <c r="L69" i="2" s="1"/>
  <c r="H69" i="2"/>
  <c r="M69" i="2" s="1"/>
  <c r="P69" i="2"/>
  <c r="A70" i="2"/>
  <c r="B70" i="2"/>
  <c r="C70" i="2"/>
  <c r="D70" i="2"/>
  <c r="I70" i="2" s="1"/>
  <c r="E70" i="2"/>
  <c r="J70" i="2" s="1"/>
  <c r="F70" i="2"/>
  <c r="K70" i="2" s="1"/>
  <c r="G70" i="2"/>
  <c r="H70" i="2"/>
  <c r="M70" i="2" s="1"/>
  <c r="L70" i="2"/>
  <c r="P70" i="2"/>
  <c r="A71" i="2"/>
  <c r="B71" i="2"/>
  <c r="C71" i="2"/>
  <c r="D71" i="2"/>
  <c r="I71" i="2" s="1"/>
  <c r="E71" i="2"/>
  <c r="J71" i="2" s="1"/>
  <c r="F71" i="2"/>
  <c r="K71" i="2" s="1"/>
  <c r="G71" i="2"/>
  <c r="L71" i="2" s="1"/>
  <c r="H71" i="2"/>
  <c r="M71" i="2"/>
  <c r="P71" i="2"/>
  <c r="A72" i="2"/>
  <c r="B72" i="2"/>
  <c r="C72" i="2"/>
  <c r="D72" i="2"/>
  <c r="I72" i="2" s="1"/>
  <c r="E72" i="2"/>
  <c r="J72" i="2" s="1"/>
  <c r="F72" i="2"/>
  <c r="K72" i="2" s="1"/>
  <c r="G72" i="2"/>
  <c r="L72" i="2" s="1"/>
  <c r="H72" i="2"/>
  <c r="M72" i="2" s="1"/>
  <c r="P72" i="2"/>
  <c r="A73" i="2"/>
  <c r="B73" i="2"/>
  <c r="C73" i="2"/>
  <c r="D73" i="2"/>
  <c r="I73" i="2" s="1"/>
  <c r="E73" i="2"/>
  <c r="J73" i="2" s="1"/>
  <c r="F73" i="2"/>
  <c r="K73" i="2" s="1"/>
  <c r="G73" i="2"/>
  <c r="L73" i="2" s="1"/>
  <c r="H73" i="2"/>
  <c r="M73" i="2" s="1"/>
  <c r="P73" i="2"/>
  <c r="A74" i="2"/>
  <c r="B74" i="2"/>
  <c r="C74" i="2"/>
  <c r="D74" i="2"/>
  <c r="I74" i="2" s="1"/>
  <c r="E74" i="2"/>
  <c r="J74" i="2" s="1"/>
  <c r="F74" i="2"/>
  <c r="K74" i="2" s="1"/>
  <c r="G74" i="2"/>
  <c r="L74" i="2" s="1"/>
  <c r="H74" i="2"/>
  <c r="M74" i="2" s="1"/>
  <c r="P74" i="2"/>
  <c r="A75" i="2"/>
  <c r="B75" i="2"/>
  <c r="C75" i="2"/>
  <c r="D75" i="2"/>
  <c r="I75" i="2" s="1"/>
  <c r="E75" i="2"/>
  <c r="F75" i="2"/>
  <c r="K75" i="2" s="1"/>
  <c r="G75" i="2"/>
  <c r="L75" i="2" s="1"/>
  <c r="H75" i="2"/>
  <c r="M75" i="2" s="1"/>
  <c r="J75" i="2"/>
  <c r="P75" i="2"/>
  <c r="A76" i="2"/>
  <c r="B76" i="2"/>
  <c r="C76" i="2"/>
  <c r="D76" i="2"/>
  <c r="I76" i="2" s="1"/>
  <c r="E76" i="2"/>
  <c r="J76" i="2" s="1"/>
  <c r="F76" i="2"/>
  <c r="K76" i="2" s="1"/>
  <c r="G76" i="2"/>
  <c r="L76" i="2" s="1"/>
  <c r="H76" i="2"/>
  <c r="M76" i="2" s="1"/>
  <c r="P76" i="2"/>
  <c r="A77" i="2"/>
  <c r="B77" i="2"/>
  <c r="C77" i="2"/>
  <c r="D77" i="2"/>
  <c r="I77" i="2" s="1"/>
  <c r="E77" i="2"/>
  <c r="J77" i="2" s="1"/>
  <c r="F77" i="2"/>
  <c r="K77" i="2" s="1"/>
  <c r="G77" i="2"/>
  <c r="L77" i="2" s="1"/>
  <c r="H77" i="2"/>
  <c r="M77" i="2" s="1"/>
  <c r="P77" i="2"/>
  <c r="A78" i="2"/>
  <c r="B78" i="2"/>
  <c r="C78" i="2"/>
  <c r="D78" i="2"/>
  <c r="I78" i="2" s="1"/>
  <c r="E78" i="2"/>
  <c r="J78" i="2" s="1"/>
  <c r="F78" i="2"/>
  <c r="K78" i="2" s="1"/>
  <c r="G78" i="2"/>
  <c r="L78" i="2" s="1"/>
  <c r="H78" i="2"/>
  <c r="M78" i="2" s="1"/>
  <c r="P78" i="2"/>
  <c r="A79" i="2"/>
  <c r="B79" i="2"/>
  <c r="C79" i="2"/>
  <c r="D79" i="2"/>
  <c r="I79" i="2" s="1"/>
  <c r="E79" i="2"/>
  <c r="J79" i="2" s="1"/>
  <c r="F79" i="2"/>
  <c r="K79" i="2" s="1"/>
  <c r="G79" i="2"/>
  <c r="L79" i="2" s="1"/>
  <c r="H79" i="2"/>
  <c r="M79" i="2" s="1"/>
  <c r="P79" i="2"/>
  <c r="A80" i="2"/>
  <c r="B80" i="2"/>
  <c r="C80" i="2"/>
  <c r="D80" i="2"/>
  <c r="I80" i="2" s="1"/>
  <c r="E80" i="2"/>
  <c r="J80" i="2" s="1"/>
  <c r="F80" i="2"/>
  <c r="K80" i="2" s="1"/>
  <c r="G80" i="2"/>
  <c r="L80" i="2" s="1"/>
  <c r="H80" i="2"/>
  <c r="M80" i="2" s="1"/>
  <c r="P80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  <c r="C10" i="2"/>
  <c r="D10" i="2"/>
  <c r="I10" i="2" s="1"/>
  <c r="E10" i="2"/>
  <c r="J10" i="2" s="1"/>
  <c r="F10" i="2"/>
  <c r="K10" i="2" s="1"/>
  <c r="G10" i="2"/>
  <c r="L10" i="2" s="1"/>
  <c r="H10" i="2"/>
  <c r="M10" i="2" s="1"/>
  <c r="C11" i="2"/>
  <c r="D11" i="2"/>
  <c r="I11" i="2" s="1"/>
  <c r="E11" i="2"/>
  <c r="J11" i="2" s="1"/>
  <c r="F11" i="2"/>
  <c r="K11" i="2" s="1"/>
  <c r="G11" i="2"/>
  <c r="L11" i="2" s="1"/>
  <c r="H11" i="2"/>
  <c r="M11" i="2" s="1"/>
  <c r="C12" i="2"/>
  <c r="D12" i="2"/>
  <c r="I12" i="2" s="1"/>
  <c r="E12" i="2"/>
  <c r="J12" i="2" s="1"/>
  <c r="F12" i="2"/>
  <c r="K12" i="2" s="1"/>
  <c r="G12" i="2"/>
  <c r="L12" i="2" s="1"/>
  <c r="H12" i="2"/>
  <c r="M12" i="2" s="1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I14" i="2" s="1"/>
  <c r="E14" i="2"/>
  <c r="J14" i="2" s="1"/>
  <c r="F14" i="2"/>
  <c r="K14" i="2" s="1"/>
  <c r="G14" i="2"/>
  <c r="H14" i="2"/>
  <c r="M14" i="2" s="1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J16" i="2" s="1"/>
  <c r="F16" i="2"/>
  <c r="K16" i="2" s="1"/>
  <c r="G16" i="2"/>
  <c r="L16" i="2" s="1"/>
  <c r="H16" i="2"/>
  <c r="M16" i="2" s="1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E18" i="2"/>
  <c r="J18" i="2" s="1"/>
  <c r="F18" i="2"/>
  <c r="K18" i="2" s="1"/>
  <c r="G18" i="2"/>
  <c r="L18" i="2" s="1"/>
  <c r="H18" i="2"/>
  <c r="M18" i="2" s="1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E20" i="2"/>
  <c r="J20" i="2" s="1"/>
  <c r="F20" i="2"/>
  <c r="K20" i="2" s="1"/>
  <c r="G20" i="2"/>
  <c r="L20" i="2" s="1"/>
  <c r="H20" i="2"/>
  <c r="M20" i="2" s="1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J22" i="2" s="1"/>
  <c r="F22" i="2"/>
  <c r="K22" i="2" s="1"/>
  <c r="G22" i="2"/>
  <c r="L22" i="2" s="1"/>
  <c r="H22" i="2"/>
  <c r="M22" i="2" s="1"/>
  <c r="C23" i="2"/>
  <c r="D23" i="2"/>
  <c r="I23" i="2" s="1"/>
  <c r="E23" i="2"/>
  <c r="J23" i="2" s="1"/>
  <c r="F23" i="2"/>
  <c r="K23" i="2" s="1"/>
  <c r="G23" i="2"/>
  <c r="L23" i="2" s="1"/>
  <c r="H23" i="2"/>
  <c r="M23" i="2" s="1"/>
  <c r="C24" i="2"/>
  <c r="D24" i="2"/>
  <c r="I24" i="2" s="1"/>
  <c r="E24" i="2"/>
  <c r="J24" i="2" s="1"/>
  <c r="F24" i="2"/>
  <c r="G24" i="2"/>
  <c r="H24" i="2"/>
  <c r="M24" i="2" s="1"/>
  <c r="C25" i="2"/>
  <c r="D25" i="2"/>
  <c r="I25" i="2" s="1"/>
  <c r="E25" i="2"/>
  <c r="J25" i="2" s="1"/>
  <c r="F25" i="2"/>
  <c r="K25" i="2" s="1"/>
  <c r="G25" i="2"/>
  <c r="L25" i="2" s="1"/>
  <c r="H25" i="2"/>
  <c r="M25" i="2" s="1"/>
  <c r="C26" i="2"/>
  <c r="D26" i="2"/>
  <c r="I26" i="2" s="1"/>
  <c r="E26" i="2"/>
  <c r="J26" i="2" s="1"/>
  <c r="F26" i="2"/>
  <c r="K26" i="2" s="1"/>
  <c r="G26" i="2"/>
  <c r="L26" i="2" s="1"/>
  <c r="H26" i="2"/>
  <c r="M26" i="2" s="1"/>
  <c r="C27" i="2"/>
  <c r="D27" i="2"/>
  <c r="I27" i="2" s="1"/>
  <c r="E27" i="2"/>
  <c r="J27" i="2" s="1"/>
  <c r="F27" i="2"/>
  <c r="G27" i="2"/>
  <c r="L27" i="2" s="1"/>
  <c r="H27" i="2"/>
  <c r="M27" i="2" s="1"/>
  <c r="C28" i="2"/>
  <c r="D28" i="2"/>
  <c r="I28" i="2" s="1"/>
  <c r="E28" i="2"/>
  <c r="J28" i="2" s="1"/>
  <c r="F28" i="2"/>
  <c r="K28" i="2" s="1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L29" i="2" s="1"/>
  <c r="H29" i="2"/>
  <c r="M29" i="2" s="1"/>
  <c r="C30" i="2"/>
  <c r="D30" i="2"/>
  <c r="I30" i="2" s="1"/>
  <c r="E30" i="2"/>
  <c r="J30" i="2" s="1"/>
  <c r="F30" i="2"/>
  <c r="K30" i="2" s="1"/>
  <c r="G30" i="2"/>
  <c r="L30" i="2" s="1"/>
  <c r="H30" i="2"/>
  <c r="M30" i="2" s="1"/>
  <c r="C31" i="2"/>
  <c r="D31" i="2"/>
  <c r="I31" i="2" s="1"/>
  <c r="E31" i="2"/>
  <c r="J31" i="2" s="1"/>
  <c r="F31" i="2"/>
  <c r="K31" i="2" s="1"/>
  <c r="G31" i="2"/>
  <c r="L31" i="2" s="1"/>
  <c r="H31" i="2"/>
  <c r="M31" i="2" s="1"/>
  <c r="C32" i="2"/>
  <c r="D32" i="2"/>
  <c r="I32" i="2" s="1"/>
  <c r="E32" i="2"/>
  <c r="J32" i="2" s="1"/>
  <c r="F32" i="2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D9" i="2"/>
  <c r="I9" i="2" s="1"/>
  <c r="E9" i="2"/>
  <c r="J9" i="2" s="1"/>
  <c r="F9" i="2"/>
  <c r="K9" i="2" s="1"/>
  <c r="G9" i="2"/>
  <c r="L9" i="2" s="1"/>
  <c r="H9" i="2"/>
  <c r="M9" i="2" s="1"/>
  <c r="C9" i="2"/>
  <c r="K32" i="2"/>
  <c r="K27" i="2"/>
  <c r="L24" i="2"/>
  <c r="K24" i="2"/>
  <c r="I20" i="2"/>
  <c r="I18" i="2"/>
  <c r="L14" i="2"/>
  <c r="J5" i="2"/>
  <c r="N41" i="2" l="1"/>
  <c r="O41" i="2" s="1"/>
  <c r="N50" i="2"/>
  <c r="O50" i="2" s="1"/>
  <c r="N47" i="2"/>
  <c r="O47" i="2" s="1"/>
  <c r="N71" i="2"/>
  <c r="O71" i="2" s="1"/>
  <c r="N56" i="2"/>
  <c r="O56" i="2" s="1"/>
  <c r="N62" i="2"/>
  <c r="O62" i="2" s="1"/>
  <c r="N63" i="2"/>
  <c r="O63" i="2" s="1"/>
  <c r="N48" i="2"/>
  <c r="O48" i="2" s="1"/>
  <c r="N24" i="2"/>
  <c r="O24" i="2" s="1"/>
  <c r="N77" i="2"/>
  <c r="O77" i="2" s="1"/>
  <c r="N57" i="2"/>
  <c r="O57" i="2" s="1"/>
  <c r="N51" i="2"/>
  <c r="O51" i="2" s="1"/>
  <c r="N36" i="2"/>
  <c r="O36" i="2" s="1"/>
  <c r="N65" i="2"/>
  <c r="O65" i="2" s="1"/>
  <c r="N78" i="2"/>
  <c r="O78" i="2" s="1"/>
  <c r="N72" i="2"/>
  <c r="O72" i="2" s="1"/>
  <c r="N42" i="2"/>
  <c r="O42" i="2" s="1"/>
  <c r="N30" i="2"/>
  <c r="O30" i="2" s="1"/>
  <c r="N66" i="2"/>
  <c r="O66" i="2" s="1"/>
  <c r="N74" i="2"/>
  <c r="O74" i="2" s="1"/>
  <c r="N38" i="2"/>
  <c r="O38" i="2" s="1"/>
  <c r="N69" i="2"/>
  <c r="O69" i="2" s="1"/>
  <c r="N39" i="2"/>
  <c r="O39" i="2" s="1"/>
  <c r="N54" i="2"/>
  <c r="O54" i="2" s="1"/>
  <c r="N45" i="2"/>
  <c r="O45" i="2" s="1"/>
  <c r="N12" i="2"/>
  <c r="O12" i="2" s="1"/>
  <c r="N68" i="2"/>
  <c r="O68" i="2" s="1"/>
  <c r="N18" i="2"/>
  <c r="O18" i="2" s="1"/>
  <c r="N75" i="2"/>
  <c r="O75" i="2" s="1"/>
  <c r="N60" i="2"/>
  <c r="O60" i="2" s="1"/>
  <c r="N53" i="2"/>
  <c r="O53" i="2" s="1"/>
  <c r="N44" i="2"/>
  <c r="O44" i="2" s="1"/>
  <c r="N59" i="2"/>
  <c r="O59" i="2" s="1"/>
  <c r="N80" i="2"/>
  <c r="O80" i="2" s="1"/>
  <c r="N79" i="2"/>
  <c r="O79" i="2" s="1"/>
  <c r="N49" i="2"/>
  <c r="O49" i="2" s="1"/>
  <c r="N40" i="2"/>
  <c r="O40" i="2" s="1"/>
  <c r="N61" i="2"/>
  <c r="O61" i="2" s="1"/>
  <c r="N43" i="2"/>
  <c r="O43" i="2" s="1"/>
  <c r="N64" i="2"/>
  <c r="O64" i="2" s="1"/>
  <c r="N70" i="2"/>
  <c r="O70" i="2" s="1"/>
  <c r="N55" i="2"/>
  <c r="O55" i="2" s="1"/>
  <c r="N46" i="2"/>
  <c r="O46" i="2" s="1"/>
  <c r="N67" i="2"/>
  <c r="O67" i="2" s="1"/>
  <c r="N34" i="2"/>
  <c r="O34" i="2" s="1"/>
  <c r="N73" i="2"/>
  <c r="O73" i="2" s="1"/>
  <c r="N37" i="2"/>
  <c r="O37" i="2" s="1"/>
  <c r="N76" i="2"/>
  <c r="O76" i="2" s="1"/>
  <c r="N52" i="2"/>
  <c r="O52" i="2" s="1"/>
  <c r="N58" i="2"/>
  <c r="O58" i="2" s="1"/>
  <c r="N15" i="2"/>
  <c r="O15" i="2" s="1"/>
  <c r="N21" i="2"/>
  <c r="O21" i="2" s="1"/>
  <c r="N25" i="2"/>
  <c r="O25" i="2" s="1"/>
  <c r="N27" i="2"/>
  <c r="O27" i="2" s="1"/>
  <c r="N33" i="2"/>
  <c r="O33" i="2" s="1"/>
  <c r="N14" i="2"/>
  <c r="O14" i="2" s="1"/>
  <c r="N17" i="2"/>
  <c r="O17" i="2" s="1"/>
  <c r="N20" i="2"/>
  <c r="O20" i="2" s="1"/>
  <c r="N23" i="2"/>
  <c r="O23" i="2" s="1"/>
  <c r="N26" i="2"/>
  <c r="O26" i="2" s="1"/>
  <c r="N29" i="2"/>
  <c r="O29" i="2" s="1"/>
  <c r="N9" i="2"/>
  <c r="O9" i="2" s="1"/>
  <c r="N22" i="2"/>
  <c r="O22" i="2" s="1"/>
  <c r="N19" i="2"/>
  <c r="O19" i="2" s="1"/>
  <c r="N16" i="2"/>
  <c r="O16" i="2" s="1"/>
  <c r="N10" i="2"/>
  <c r="O10" i="2" s="1"/>
  <c r="N11" i="2"/>
  <c r="O11" i="2" s="1"/>
  <c r="N31" i="2"/>
  <c r="O31" i="2" s="1"/>
  <c r="N32" i="2"/>
  <c r="O32" i="2" s="1"/>
  <c r="N13" i="2"/>
  <c r="O13" i="2" s="1"/>
  <c r="N28" i="2"/>
  <c r="O28" i="2" s="1"/>
</calcChain>
</file>

<file path=xl/sharedStrings.xml><?xml version="1.0" encoding="utf-8"?>
<sst xmlns="http://schemas.openxmlformats.org/spreadsheetml/2006/main" count="2181" uniqueCount="595">
  <si>
    <t>시행년도</t>
  </si>
  <si>
    <t>시행사 구분</t>
  </si>
  <si>
    <t>권역구 구분</t>
  </si>
  <si>
    <t>용인시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</si>
  <si>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</si>
  <si>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</si>
  <si>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</si>
  <si>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</si>
  <si>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</si>
  <si>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</si>
  <si>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</si>
  <si>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</si>
  <si>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</si>
  <si>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</si>
  <si>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</si>
  <si>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</si>
  <si>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</si>
  <si>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</si>
  <si>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</si>
  <si>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</si>
  <si>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</si>
  <si>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</si>
  <si>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</si>
  <si>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</si>
  <si>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신수로</t>
  </si>
  <si>
    <t>25-용인시-4</t>
  </si>
  <si>
    <t>보통</t>
  </si>
  <si>
    <t>-</t>
  </si>
  <si>
    <t>건조</t>
  </si>
  <si>
    <t>일반</t>
  </si>
  <si>
    <t>침하 9cm</t>
  </si>
  <si>
    <t>동천동 207</t>
  </si>
  <si>
    <t/>
  </si>
  <si>
    <t>25-용인시-5</t>
  </si>
  <si>
    <t>양호</t>
  </si>
  <si>
    <t>거북등</t>
  </si>
  <si>
    <t>침하 5cm미만</t>
  </si>
  <si>
    <t>동천동 207-3</t>
  </si>
  <si>
    <t>25-용인시-6</t>
  </si>
  <si>
    <t>동천동 899</t>
  </si>
  <si>
    <t>25-용인시-7</t>
  </si>
  <si>
    <t>보도침하 5cm미만</t>
  </si>
  <si>
    <t>동천동 325-21</t>
  </si>
  <si>
    <t>25-용인시-8</t>
  </si>
  <si>
    <t>횡균열</t>
  </si>
  <si>
    <t>동천동 325-710</t>
  </si>
  <si>
    <t>25-용인시-9</t>
  </si>
  <si>
    <t>종균열</t>
  </si>
  <si>
    <t>침하3cm</t>
  </si>
  <si>
    <t>동천동 901</t>
  </si>
  <si>
    <t>25-용인시-10</t>
  </si>
  <si>
    <t>동천동 325-731</t>
  </si>
  <si>
    <t>25-용인시-11</t>
  </si>
  <si>
    <t>25-용인시-12</t>
  </si>
  <si>
    <t>조달청품질관리단앞삼거리</t>
  </si>
  <si>
    <t>25-용인시-13</t>
  </si>
  <si>
    <t>풍덕천동 853-1</t>
  </si>
  <si>
    <t>25-용인시-14</t>
  </si>
  <si>
    <t>풍덕천동 860</t>
  </si>
  <si>
    <t>풍덕천로</t>
  </si>
  <si>
    <t>25-용인시-15</t>
  </si>
  <si>
    <t>침하4cm</t>
  </si>
  <si>
    <t>풍덕천동 740-9</t>
  </si>
  <si>
    <t>25-용인시-16</t>
  </si>
  <si>
    <t>침하8cm</t>
  </si>
  <si>
    <t>풍덕천동 742-8</t>
  </si>
  <si>
    <t>25-용인시-17</t>
  </si>
  <si>
    <t>풍덕천동 743</t>
  </si>
  <si>
    <t>25-용인시-18</t>
  </si>
  <si>
    <t>풍덕천동 742</t>
  </si>
  <si>
    <t>25-용인시-19</t>
  </si>
  <si>
    <t>풍덕천동 732-6</t>
  </si>
  <si>
    <t>25-용인시-20</t>
  </si>
  <si>
    <t>풍덕천동 732-3</t>
  </si>
  <si>
    <t>25-용인시-21</t>
  </si>
  <si>
    <t>침하 3cm</t>
  </si>
  <si>
    <t>풍덕천동 732-4</t>
  </si>
  <si>
    <t>25-용인시-22</t>
  </si>
  <si>
    <t>풍덕천동 703-5</t>
  </si>
  <si>
    <t>25-용인시-23</t>
  </si>
  <si>
    <t>풍덕천동 703-2</t>
  </si>
  <si>
    <t>25-용인시-24</t>
  </si>
  <si>
    <t>풍덕천동 716-7</t>
  </si>
  <si>
    <t>25-용인시-25</t>
  </si>
  <si>
    <t>현대그린프라자삼거리</t>
  </si>
  <si>
    <t>25-용인시-26</t>
  </si>
  <si>
    <t>풍덕천동 716-2</t>
  </si>
  <si>
    <t>25-용인시-27</t>
  </si>
  <si>
    <t>풍덕천동 714-5</t>
  </si>
  <si>
    <t>25-용인시-28</t>
  </si>
  <si>
    <t>풍덕천동 717-2</t>
  </si>
  <si>
    <t>25-용인시-29</t>
  </si>
  <si>
    <t>풍덕천동 713-6</t>
  </si>
  <si>
    <t>25-용인시-30</t>
  </si>
  <si>
    <t>풍덕천동 713-5</t>
  </si>
  <si>
    <t>25-용인시-31</t>
  </si>
  <si>
    <t>풍덕천동 712-3</t>
  </si>
  <si>
    <t>25-용인시-32</t>
  </si>
  <si>
    <t>25-용인시-33</t>
  </si>
  <si>
    <t>로얄스포츠센터사거리</t>
  </si>
  <si>
    <t>25-용인시-34</t>
  </si>
  <si>
    <t>풍덕천동 1078</t>
  </si>
  <si>
    <t>25-용인시-35</t>
  </si>
  <si>
    <t>25-용인시-36</t>
  </si>
  <si>
    <t>풍덕천동 1080-9</t>
  </si>
  <si>
    <t>25-용인시-37</t>
  </si>
  <si>
    <t>25-용인시-38</t>
  </si>
  <si>
    <t>풍덕천동 1075-6</t>
  </si>
  <si>
    <t>25-용인시-39</t>
  </si>
  <si>
    <t>풍덕천동 1080-6</t>
  </si>
  <si>
    <t>25-용인시-40</t>
  </si>
  <si>
    <t>25-용인시-41</t>
  </si>
  <si>
    <t>풍덕천동 1075-4</t>
  </si>
  <si>
    <t>25-용인시-42</t>
  </si>
  <si>
    <t>25-용인시-43</t>
  </si>
  <si>
    <t>풍덕천동 1075-2</t>
  </si>
  <si>
    <t>25-용인시-44</t>
  </si>
  <si>
    <t>풍덕천동 1080-2</t>
  </si>
  <si>
    <t>25-용인시-45</t>
  </si>
  <si>
    <t>풍덕천동 1070-7</t>
  </si>
  <si>
    <t>25-용인시-46</t>
  </si>
  <si>
    <t>도서관입구사거리</t>
  </si>
  <si>
    <t>25-용인시-47</t>
  </si>
  <si>
    <t>풍덕천동 1093-2</t>
  </si>
  <si>
    <t>25-용인시-48</t>
  </si>
  <si>
    <t>풍덕천동 1093-3</t>
  </si>
  <si>
    <t>25-용인시-49</t>
  </si>
  <si>
    <t>보도 단차침하 5cm미만</t>
  </si>
  <si>
    <t>풍덕천동 1093-1</t>
  </si>
  <si>
    <t>25-용인시-50</t>
  </si>
  <si>
    <t>풍덕천동 1097</t>
  </si>
  <si>
    <t>25-용인시-51</t>
  </si>
  <si>
    <t>풍덕천동 1065-2</t>
  </si>
  <si>
    <t>25-용인시-52</t>
  </si>
  <si>
    <t>풍덕천동 1104-1</t>
  </si>
  <si>
    <t>25-용인시-53</t>
  </si>
  <si>
    <t>25-용인시-54</t>
  </si>
  <si>
    <t>풍덕천동 1060</t>
  </si>
  <si>
    <t>25-용인시-55</t>
  </si>
  <si>
    <t>풍덕천동 1106</t>
  </si>
  <si>
    <t>25-용인시-56</t>
  </si>
  <si>
    <t>풍덕천동 1051-2</t>
  </si>
  <si>
    <t>25-용인시-57</t>
  </si>
  <si>
    <t>보토침하 5cm~1cm미만</t>
  </si>
  <si>
    <t>25-용인시-58</t>
  </si>
  <si>
    <t>침하 6cm</t>
  </si>
  <si>
    <t>25-용인시-59</t>
  </si>
  <si>
    <t>흔적</t>
  </si>
  <si>
    <t>풍덕천동 1112</t>
  </si>
  <si>
    <t>25-용인시-60</t>
  </si>
  <si>
    <t>25-용인시-61</t>
  </si>
  <si>
    <t>침하 5cm~1cm미만</t>
  </si>
  <si>
    <t>25-용인시-62</t>
  </si>
  <si>
    <t>정평중학교사거리</t>
  </si>
  <si>
    <t>25-용인시-63</t>
  </si>
  <si>
    <t>풍덕천동 1117</t>
  </si>
  <si>
    <t>25-용인시-64</t>
  </si>
  <si>
    <t>풍덕천동 1028</t>
  </si>
  <si>
    <t>25-용인시-65</t>
  </si>
  <si>
    <t>풍덕천동 1043</t>
  </si>
  <si>
    <t>수지로</t>
  </si>
  <si>
    <t>25-용인시-66</t>
  </si>
  <si>
    <t>성복동 739</t>
  </si>
  <si>
    <t>25-용인시-67</t>
  </si>
  <si>
    <t>풍덕천동 1035</t>
  </si>
  <si>
    <t>25-용인시-68</t>
  </si>
  <si>
    <t>25-용인시-69</t>
  </si>
  <si>
    <t>25-용인시-70</t>
  </si>
  <si>
    <t>25-용인시-71</t>
  </si>
  <si>
    <t>풍덕천동 1037</t>
  </si>
  <si>
    <t>25-용인시-72</t>
  </si>
  <si>
    <t>성복동 740-1</t>
  </si>
  <si>
    <t>25-용인시-73</t>
  </si>
  <si>
    <t>성복동 748-2</t>
  </si>
  <si>
    <t>25-용인시-74</t>
  </si>
  <si>
    <t>성복동 54-6</t>
  </si>
  <si>
    <t>25-용인시-75</t>
  </si>
  <si>
    <t>성복동 720-6</t>
  </si>
  <si>
    <t>25-용인시-76</t>
  </si>
  <si>
    <t>성복동 720-5</t>
  </si>
  <si>
    <t>25-용인시-77</t>
  </si>
  <si>
    <t>성복동 67-6</t>
  </si>
  <si>
    <t>25-용인시-78</t>
  </si>
  <si>
    <t>성복동 68-1</t>
  </si>
  <si>
    <t>25-용인시-79</t>
  </si>
  <si>
    <t>성복동 39-5</t>
  </si>
  <si>
    <t>25-용인시-80</t>
  </si>
  <si>
    <t>성복동 69-1</t>
  </si>
  <si>
    <t>25-용인시-81</t>
  </si>
  <si>
    <t>성복동 42-3</t>
  </si>
  <si>
    <t>25-용인시-82</t>
  </si>
  <si>
    <t>상현동 103-2</t>
  </si>
  <si>
    <t>25-용인시-83</t>
  </si>
  <si>
    <t>상현동 105-1</t>
  </si>
  <si>
    <t>25-용인시-84</t>
  </si>
  <si>
    <t>상현동 106-5</t>
  </si>
  <si>
    <t>25-용인시-85</t>
  </si>
  <si>
    <t>상현동 107-4</t>
  </si>
  <si>
    <t>25-용인시-86</t>
  </si>
  <si>
    <t>상현동 108-1</t>
  </si>
  <si>
    <t>25-용인시-87</t>
  </si>
  <si>
    <t>25-용인시-88</t>
  </si>
  <si>
    <t>상현동 193-10</t>
  </si>
  <si>
    <t>25-용인시-89</t>
  </si>
  <si>
    <t>상현동 193-18</t>
  </si>
  <si>
    <t>25-용인시-90</t>
  </si>
  <si>
    <t>상현동 166-4</t>
  </si>
  <si>
    <t>25-용인시-91</t>
  </si>
  <si>
    <t>상현동 196-8</t>
  </si>
  <si>
    <t>25-용인시-92</t>
  </si>
  <si>
    <t>상현지구대삼거리</t>
  </si>
  <si>
    <t>25-용인시-93</t>
  </si>
  <si>
    <t>상현동 198-20</t>
  </si>
  <si>
    <t>25-용인시-94</t>
  </si>
  <si>
    <t>25-용인시-95</t>
  </si>
  <si>
    <t>상현동 1208</t>
  </si>
  <si>
    <t>25-용인시-96</t>
  </si>
  <si>
    <t>상현동 351-26</t>
  </si>
  <si>
    <t>포은대로</t>
  </si>
  <si>
    <t>25-용인시-97</t>
  </si>
  <si>
    <t>상현동 1224</t>
  </si>
  <si>
    <t>25-용인시-98</t>
  </si>
  <si>
    <t>상현동 1192</t>
  </si>
  <si>
    <t>25-용인시-99</t>
  </si>
  <si>
    <t>상현동 1223-4</t>
  </si>
  <si>
    <t>광교중앙로</t>
  </si>
  <si>
    <t>25-용인시-100</t>
  </si>
  <si>
    <t>상현동 1222</t>
  </si>
  <si>
    <t>25-용인시-101</t>
  </si>
  <si>
    <t>25-용인시-102</t>
  </si>
  <si>
    <t>25-용인시-103</t>
  </si>
  <si>
    <t>상현동 1120</t>
  </si>
  <si>
    <t>25-용인시-104</t>
  </si>
  <si>
    <t>상현역사거리</t>
  </si>
  <si>
    <t>25-용인시-105</t>
  </si>
  <si>
    <t>상현동 1117-1</t>
  </si>
  <si>
    <t>25-용인시-106</t>
  </si>
  <si>
    <t>상현동 1117-3</t>
  </si>
  <si>
    <t>25-용인시-107</t>
  </si>
  <si>
    <t>상현동 1117-5</t>
  </si>
  <si>
    <t>25-용인시-108</t>
  </si>
  <si>
    <t>25-용인시-109</t>
  </si>
  <si>
    <t>상현동 1131-8</t>
  </si>
  <si>
    <t>25-용인시-110</t>
  </si>
  <si>
    <t>상현동 1118</t>
  </si>
  <si>
    <t>25-용인시-111</t>
  </si>
  <si>
    <t>25-용인시-112</t>
  </si>
  <si>
    <t>상현동 1054-1</t>
  </si>
  <si>
    <t>26-용인시-01</t>
  </si>
  <si>
    <t>종횡균열</t>
  </si>
  <si>
    <t>동천동186-12</t>
  </si>
  <si>
    <t>바다생협대광어_용인본점(신수로783)</t>
  </si>
  <si>
    <t>26-용인시-02</t>
  </si>
  <si>
    <t>만당주유소 앞 삼거리</t>
  </si>
  <si>
    <t>만당주유소 앞 삼거리(신수로781)</t>
  </si>
  <si>
    <t>26-용인시-03</t>
  </si>
  <si>
    <t>7cm 침하</t>
  </si>
  <si>
    <t>동천동899</t>
  </si>
  <si>
    <t>동천역 #3번출구 신호등 앞 도로(신수로767)</t>
  </si>
  <si>
    <t>현장확인필요</t>
  </si>
  <si>
    <t>26-용인시-04</t>
  </si>
  <si>
    <t>동천역 #3번출구 앞 도로(신수로767)</t>
  </si>
  <si>
    <t>26-용인시-05</t>
  </si>
  <si>
    <t>5cm이하 침하</t>
  </si>
  <si>
    <t>동천역 E/V_#2호기 앞 보도(신수로767)</t>
  </si>
  <si>
    <t>26-용인시-06</t>
  </si>
  <si>
    <t>동천역 E/V_#2호기 앞 도로(신수로767)</t>
  </si>
  <si>
    <t>26-용인시-07</t>
  </si>
  <si>
    <t>동천동900</t>
  </si>
  <si>
    <t>상선종점 피난계단 앞 도로</t>
  </si>
  <si>
    <t>26-용인시-08</t>
  </si>
  <si>
    <t>상선종점 피난계단 뒤 보도</t>
  </si>
  <si>
    <t>26-용인시-09</t>
  </si>
  <si>
    <t>동천동901</t>
  </si>
  <si>
    <t>용인푸르지오 모델하우스 앞 도로(손곡로10)</t>
  </si>
  <si>
    <t>26-용인시-10</t>
  </si>
  <si>
    <t>현대건설 힐스테이트 모델하우스 앞 양차선(손곡로10)</t>
  </si>
  <si>
    <t>26-용인시-11</t>
  </si>
  <si>
    <t>풍덕천동860-6</t>
  </si>
  <si>
    <t>제네시스_수지 앞 도로(풍덕천로197번길11-2)</t>
  </si>
  <si>
    <t>26-용인시-12</t>
  </si>
  <si>
    <t>풍덕천동740-9</t>
  </si>
  <si>
    <t>돌담집 앞 도로(풍덕천로197번길3-2)</t>
  </si>
  <si>
    <t>26-용인시-13</t>
  </si>
  <si>
    <t>돌담집 앞 삼거리(풍덕천로197번길3-2)</t>
  </si>
  <si>
    <t>26-용인시-14</t>
  </si>
  <si>
    <t>풍덕천동742-8</t>
  </si>
  <si>
    <t>샤인노래방 앞 도로(풍덕천로197번길1)</t>
  </si>
  <si>
    <t>26-용인시-15</t>
  </si>
  <si>
    <t>풍덕천동742</t>
  </si>
  <si>
    <t>덕윤프라자 앞 도로(풍덕천로191)</t>
  </si>
  <si>
    <t>26-용인시-16</t>
  </si>
  <si>
    <t>풍덕천동735-7</t>
  </si>
  <si>
    <t>삼정빌딩 앞 도로(풍덕천로187-1)</t>
  </si>
  <si>
    <t>26-용인시-17</t>
  </si>
  <si>
    <t>풍덕천동732-6</t>
  </si>
  <si>
    <t>용인서부소방서수지119안전센터 앞 도로(풍덕천로177)</t>
  </si>
  <si>
    <t>26-용인시-18</t>
  </si>
  <si>
    <t>풍덕천동703-4</t>
  </si>
  <si>
    <t>수지분당 공인중개사사무소 앞 도로(풍덕천로169)</t>
  </si>
  <si>
    <t>26-용인시-19</t>
  </si>
  <si>
    <t>풍덕천동703</t>
  </si>
  <si>
    <t>동보아파트 놀이터 앞 도로(풍덕천로155)</t>
  </si>
  <si>
    <t>26-용인시-20</t>
  </si>
  <si>
    <t>동보아파트 서울치과의원 앞 양차선(풍덕천로161)</t>
  </si>
  <si>
    <t>26-용인시-21</t>
  </si>
  <si>
    <t>현대그린프라자 삼거리</t>
  </si>
  <si>
    <t>26-용인시-22</t>
  </si>
  <si>
    <t>풍덕천동715-2</t>
  </si>
  <si>
    <t>현대그린프라자 앞 도로(풍덕천로149)</t>
  </si>
  <si>
    <t>26-용인시-23</t>
  </si>
  <si>
    <t>풍덕천동714-5</t>
  </si>
  <si>
    <t>버거킹_수지구청역점 앞 도로(풍덕천로145)</t>
  </si>
  <si>
    <t>26-용인시-24</t>
  </si>
  <si>
    <t>버거킹_수지구청역점 앞 보도(풍덕천로145)</t>
  </si>
  <si>
    <t>26-용인시-25</t>
  </si>
  <si>
    <t>풍덕천동714-4</t>
  </si>
  <si>
    <t>수풍소공원 앞 도로</t>
  </si>
  <si>
    <t>26-용인시-26</t>
  </si>
  <si>
    <t>수풍소공원 앞 교차로</t>
  </si>
  <si>
    <t>26-용인시-27</t>
  </si>
  <si>
    <t>풍덕천동713-5</t>
  </si>
  <si>
    <t>금오프라자 롯데리아 앞 도로(풍덕천로133)</t>
  </si>
  <si>
    <t>26-용인시-28</t>
  </si>
  <si>
    <t>풍덕천동712-3</t>
  </si>
  <si>
    <t>수지프라자 하르당 앞 도로(풍덕천로127)</t>
  </si>
  <si>
    <t>26-용인시-29</t>
  </si>
  <si>
    <t>26-용인시-30</t>
  </si>
  <si>
    <t>풍덕천동1065</t>
  </si>
  <si>
    <t>주공1단지 아파트 102동 앞 도로(풍덕천로91)5cm이하 침하</t>
  </si>
  <si>
    <t>26-용인시-31</t>
  </si>
  <si>
    <t>풍덕천동1097</t>
  </si>
  <si>
    <t>신정마을 정문 앞 도로(풍덕천로86)</t>
  </si>
  <si>
    <t>26-용인시-32</t>
  </si>
  <si>
    <t>풍덕천동1065-2</t>
  </si>
  <si>
    <t>GS25 앞 양차선(풍덕천로89)</t>
  </si>
  <si>
    <t>26-용인시-33</t>
  </si>
  <si>
    <t>풍덕천동1064</t>
  </si>
  <si>
    <t>믿음공인중개사 사무소 앞 도로(풍덕천로89)</t>
  </si>
  <si>
    <t>26-용인시-34</t>
  </si>
  <si>
    <t>풍덕천동1060</t>
  </si>
  <si>
    <t>상록아파트 정문 앞 도로(풍덕천로75)</t>
  </si>
  <si>
    <t>26-용인시-35</t>
  </si>
  <si>
    <t>풍덕천동1051-2</t>
  </si>
  <si>
    <t>풍덕천2동행정복지센터 앞 양차선(풍덕천로51)</t>
  </si>
  <si>
    <t>26-용인시-36</t>
  </si>
  <si>
    <t>풍덕천동1051-1</t>
  </si>
  <si>
    <t>즐거운한우_수지 앞 도로(정평로34-2)</t>
  </si>
  <si>
    <t>26-용인시-37</t>
  </si>
  <si>
    <t>26-용인시-38</t>
  </si>
  <si>
    <t>풍덕천동1028</t>
  </si>
  <si>
    <t>자라나는어린이집 앞 횡단보도(픙덕천로33)</t>
  </si>
  <si>
    <t>26-용인시-39</t>
  </si>
  <si>
    <t>신정마을6단지 상록아파트611동 앞 도로</t>
  </si>
  <si>
    <t>26-용인시-40</t>
  </si>
  <si>
    <t>GS25수지상록점 앞 도로(풍덕천로31)</t>
  </si>
  <si>
    <t>26-용인시-41</t>
  </si>
  <si>
    <t>성복동740</t>
  </si>
  <si>
    <t>드림타워 버스정류장 앞 도로(성복2로76번길26-3)</t>
  </si>
  <si>
    <t>26-용인시-42</t>
  </si>
  <si>
    <t>푸른마을 푸르지오삼거리</t>
  </si>
  <si>
    <t>푸르지오삼거리(성복2로76번길26-3)</t>
  </si>
  <si>
    <t>26-용인시-43</t>
  </si>
  <si>
    <t>성복동748-2</t>
  </si>
  <si>
    <t>신봉샤르망1 정관장 앞 도로(성복2로76번길26-6)</t>
  </si>
  <si>
    <t>26-용인시-44</t>
  </si>
  <si>
    <t>풍덕천동607-48</t>
  </si>
  <si>
    <t>어청교 앞 양차선</t>
  </si>
  <si>
    <t>26-용인시-45</t>
  </si>
  <si>
    <t>성복동입구 교차로</t>
  </si>
  <si>
    <t>26-용인시-46</t>
  </si>
  <si>
    <t>수지구 성복동69-1</t>
  </si>
  <si>
    <t>성복제일교회 앞 도로(수지로113)</t>
  </si>
  <si>
    <t>26-용인시-47</t>
  </si>
  <si>
    <t>성복동90</t>
  </si>
  <si>
    <t>성동마을엘지빌리지2차아파트 202동 앞 도로(수지로113번길15)</t>
  </si>
  <si>
    <t>26-용인시-48</t>
  </si>
  <si>
    <t>상현동105-1</t>
  </si>
  <si>
    <t>저먼오토 앞 도로(수지로88)</t>
  </si>
  <si>
    <t>26-용인시-49</t>
  </si>
  <si>
    <t>성복동814</t>
  </si>
  <si>
    <t>롯데캐슬 파크나인 신한은행 앞 양차선성복역(성복1로13)</t>
  </si>
  <si>
    <t>26-용인시-50</t>
  </si>
  <si>
    <t>상현동107-4</t>
  </si>
  <si>
    <t>성진빌딩 메가MGC커피 수지풍산삼거(수지로74)리점 앞 도로</t>
  </si>
  <si>
    <t>26-용인시-51</t>
  </si>
  <si>
    <t>상현동193-11</t>
  </si>
  <si>
    <t>타이어테크_상현점 앞 양차선(수지로42-</t>
  </si>
  <si>
    <t>26-용인시-52</t>
  </si>
  <si>
    <t>문풍지도어_수지대리점 앞 도로(수지로42)</t>
  </si>
  <si>
    <t>26-용인시-53</t>
  </si>
  <si>
    <t>상현지구대 삼거리(수지로29)</t>
  </si>
  <si>
    <t>26-용인시-54</t>
  </si>
  <si>
    <t>상현동198-10</t>
  </si>
  <si>
    <t>인접공사(심곡서원)현장 앞 도로</t>
  </si>
  <si>
    <t>26-용인시-55</t>
  </si>
  <si>
    <t>상현동1206</t>
  </si>
  <si>
    <t>포레나광교상현아파트 101동 앞 도로(수지로17)</t>
  </si>
  <si>
    <t>26-용인시-56</t>
  </si>
  <si>
    <t>상현동198-21</t>
  </si>
  <si>
    <t>본누벨 앞 도로(수지로20)</t>
  </si>
  <si>
    <t>26-용인시-57</t>
  </si>
  <si>
    <t>상현동347-1</t>
  </si>
  <si>
    <t>팔달냉면_수지광교본점 앞 양차선(수지로16)</t>
  </si>
  <si>
    <t>26-용인시-58</t>
  </si>
  <si>
    <t>상현동351-11</t>
  </si>
  <si>
    <t>기아오토큐 앞 양차선 및 교통섬주변(수지로4)</t>
  </si>
  <si>
    <t>26-용인시-59</t>
  </si>
  <si>
    <t>상현동1221-2</t>
  </si>
  <si>
    <t>교동면옥 맞은편 도로</t>
  </si>
  <si>
    <t>26-용인시-60</t>
  </si>
  <si>
    <t>상현동1222</t>
  </si>
  <si>
    <t>상현중학교 맞음편 도로</t>
  </si>
  <si>
    <t>26-용인시-61</t>
  </si>
  <si>
    <t>26-용인시-62</t>
  </si>
  <si>
    <t>상현동1117-1</t>
  </si>
  <si>
    <t>광교티타워 더벤티 앞 도로(광교중앙로315)</t>
  </si>
  <si>
    <t>26-용인시-63</t>
  </si>
  <si>
    <t>상현동1131-1</t>
  </si>
  <si>
    <t>시티하임 / #1번출구 앞 환기구 주변 보도(광교중앙로316)</t>
  </si>
  <si>
    <t>26-용인시-64</t>
  </si>
  <si>
    <t>상현동1131-2</t>
  </si>
  <si>
    <t>세현빌딩 / #1번출구 앞 도로(광교중앙로314)</t>
  </si>
  <si>
    <t>26-용인시-65</t>
  </si>
  <si>
    <t>상현동1117-3</t>
  </si>
  <si>
    <t>희성빌딩 KT프라자 앞 도로(광교중앙로311)</t>
  </si>
  <si>
    <t>26-용인시-66</t>
  </si>
  <si>
    <t>상현동1117-5</t>
  </si>
  <si>
    <t>광교2차푸르지오시티C동오피스텔 행복부동산 앞 도로(광교중앙로305)</t>
  </si>
  <si>
    <t>26-용인시-67</t>
  </si>
  <si>
    <t>광교2차푸르지오시티C동오피스텔 서브웨이 앞 도로(광교중앙로305)</t>
  </si>
  <si>
    <t>26-용인시-68</t>
  </si>
  <si>
    <t>상현동1131-6</t>
  </si>
  <si>
    <t>미주프라자 / #2번출구 앞 도로(광교중앙로304)</t>
  </si>
  <si>
    <t>26-용인시-69</t>
  </si>
  <si>
    <t>상현동1131-8</t>
  </si>
  <si>
    <t>드림타워2 휴대폰도매센타-광교상현점 앞 도로(광교중앙로298)</t>
  </si>
  <si>
    <t>26-용인시-70</t>
  </si>
  <si>
    <t>상현동1133</t>
  </si>
  <si>
    <t>엘리치안오피스텔 새미케이크 앞 도로(광교중앙로294)</t>
  </si>
  <si>
    <t>26-용인시-71</t>
  </si>
  <si>
    <t>광교마을사거리</t>
  </si>
  <si>
    <t>26-용인시-72</t>
  </si>
  <si>
    <t>상현동1066</t>
  </si>
  <si>
    <t>진고개통로</t>
  </si>
  <si>
    <t>경기철도㈜</t>
    <phoneticPr fontId="2" type="noConversion"/>
  </si>
  <si>
    <t>-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</si>
  <si>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</si>
  <si>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</si>
  <si>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</si>
  <si>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</si>
  <si>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</si>
  <si>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</si>
  <si>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</si>
  <si>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</si>
  <si>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</si>
  <si>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</si>
  <si>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</si>
  <si>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</si>
  <si>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</si>
  <si>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</si>
  <si>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</si>
  <si>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</si>
  <si>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</si>
  <si>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동천동899</t>
    <phoneticPr fontId="2" type="noConversion"/>
  </si>
  <si>
    <t>7~9cm 보도침하</t>
    <phoneticPr fontId="2" type="noConversion"/>
  </si>
  <si>
    <t>보통</t>
    <phoneticPr fontId="2" type="noConversion"/>
  </si>
  <si>
    <t>5cm이하 보도침하</t>
    <phoneticPr fontId="2" type="noConversion"/>
  </si>
  <si>
    <t>5cm 보도침하</t>
    <phoneticPr fontId="2" type="noConversion"/>
  </si>
  <si>
    <t>현대그린프라자 삼거리</t>
    <phoneticPr fontId="2" type="noConversion"/>
  </si>
  <si>
    <t>5cm이하 침하</t>
    <phoneticPr fontId="2" type="noConversion"/>
  </si>
  <si>
    <t>신수로</t>
    <phoneticPr fontId="2" type="noConversion"/>
  </si>
  <si>
    <t>25-용인시-1</t>
  </si>
  <si>
    <t>동천동 186-12</t>
  </si>
  <si>
    <t>동천로</t>
  </si>
  <si>
    <t>25-용인시-2</t>
  </si>
  <si>
    <t>동천동 325-728</t>
  </si>
  <si>
    <t>25-용인시-3</t>
  </si>
  <si>
    <t>만당주유소앞삼거리</t>
  </si>
  <si>
    <t xml:space="preserve"> 풍덕천동 719-2</t>
  </si>
  <si>
    <t>종균열
횡균열</t>
  </si>
  <si>
    <t>보도침하 8cm
(보도블록 모래 유실 진행)</t>
  </si>
  <si>
    <t>침하 5cm미만
(측구, 그레이팅 파손 병행)</t>
  </si>
  <si>
    <t>침하 7cm
(종·횡 방향 균열 동반)</t>
  </si>
  <si>
    <t xml:space="preserve">상현동 198-20
</t>
  </si>
  <si>
    <t>임창정 세겹살 앞
도로
(신수로)</t>
  </si>
  <si>
    <t>고가 앞
도로
(신수로)</t>
  </si>
  <si>
    <t>만당주유소 앞
삼거리
도로
(신수로)</t>
  </si>
  <si>
    <t>동천역
하선피난계단 앞
도로
(신수로)</t>
  </si>
  <si>
    <t>자전거 거치대 앞
도로
(신수로)</t>
  </si>
  <si>
    <t>동천역 #2출구 앞
도로
(신수로)</t>
  </si>
  <si>
    <t>동천역 #1출구 앞
보도
(신수로)</t>
  </si>
  <si>
    <t>동천역
상선 피난계단 맞음편
도로
(신수로)</t>
  </si>
  <si>
    <t>푸르지오 건물 앞
도로
(신수로)</t>
  </si>
  <si>
    <t>푸르지오 맞음편
도로
(신수로)</t>
  </si>
  <si>
    <t>힐스테이트 앞
도로
(신수로)</t>
  </si>
  <si>
    <t>조달청 품질관리단 앞
삼거리
도로
(풍덕천로)</t>
  </si>
  <si>
    <t>레스피아 통로 앞
도로
(풍덕천로)</t>
  </si>
  <si>
    <t>제네시스 수지 앞
도로
(풍덕천로)</t>
  </si>
  <si>
    <t>다복 앞
도로
(풍덕천로)</t>
  </si>
  <si>
    <t>샤인노래방 앞
도로
(풍덕천로)</t>
  </si>
  <si>
    <t>미래LED조명 앞
도로
(풍덕천로)</t>
  </si>
  <si>
    <t>덕윤프라자 앞
도로
(풍덕천로)</t>
  </si>
  <si>
    <t>수지119 안전센터 앞
양차선
도로
(풍덕천로)</t>
  </si>
  <si>
    <t>미소종합장식 앞
양차선
도로
(풍덕천로)</t>
  </si>
  <si>
    <t>페인트마트 앞
도로
(풍덕천로)</t>
  </si>
  <si>
    <t>청솔타일도기 앞
양차선
도로
(풍덕천로)</t>
  </si>
  <si>
    <t>물고기자리 앞
양차선
도로
(풍덕천로)</t>
  </si>
  <si>
    <t>현대그린프라자
삼거리
도로
(풍덕천로)</t>
  </si>
  <si>
    <t>현대그린프라자 앞
양차선
도로
(풍덕천로)</t>
  </si>
  <si>
    <t>버거킹 앞
보도
(풍덕천로)</t>
  </si>
  <si>
    <t>현대그린프라자
버스정류장 앞
양차선
도로
(풍덕천로)</t>
  </si>
  <si>
    <t>세븐일레븐 앞
교차로
도로
(풍덕천로)</t>
  </si>
  <si>
    <t>롯데리아 앞
도로
(풍덕천로)</t>
  </si>
  <si>
    <t>하르당 앞
도로
(풍덕천로)</t>
  </si>
  <si>
    <t>메가커피 앞
도로
(풍덕천로)</t>
  </si>
  <si>
    <t>로얄스포츠센터
사거리
도로
(풍덕천로)</t>
  </si>
  <si>
    <t>수지구청역 #4번출구 앞
도로
(풍덕천로)</t>
  </si>
  <si>
    <t>스타벅스 앞
보도
(풍덕천로)</t>
  </si>
  <si>
    <t>렌즈미 글라스미
수지구청역점 앞
보도
(풍덕천로)</t>
  </si>
  <si>
    <t>서브웨이 앞
도로
(풍덕천로)</t>
  </si>
  <si>
    <t>미태리 앞
(E/V #2호기)
도로
(풍덕천로)</t>
  </si>
  <si>
    <t>미스터피자 앞
보도
(풍덕천로)</t>
  </si>
  <si>
    <t>미스터피자 앞
도로
(풍덕천로)</t>
  </si>
  <si>
    <t>수지구청역 #3번출구 앞
보도
(풍덕천로)</t>
  </si>
  <si>
    <t>수지구청역 #3번출구 앞
도로
(풍덕천로)</t>
  </si>
  <si>
    <t>으뜸안경콘택트 앞
도로
(풍덕천로)</t>
  </si>
  <si>
    <t>꼬꼬마김밥 앞
도로
(풍덕천로)</t>
  </si>
  <si>
    <t>파리바게트 앞
도로
(풍덕천로)</t>
  </si>
  <si>
    <t>도서관입구 사거리
도로
(풍덕천로)</t>
  </si>
  <si>
    <t>주공아파트
버스정류장 앞
도로
(풍덕천로)</t>
  </si>
  <si>
    <t>약손수기관리 앞
보도
(풍덕천로)</t>
  </si>
  <si>
    <t>용인수지신정마을
주공1단지아파트102동 앞
보도
(풍덕천로)</t>
  </si>
  <si>
    <t>신월초등학교 앞
도로
(풍덕천로)</t>
  </si>
  <si>
    <t>용인수지신정마을
주공1단지아파트112동 앞
양차선
도로
(풍덕천로)</t>
  </si>
  <si>
    <t>신월초교
버스정류장 앞
보도
(풍덕천로)</t>
  </si>
  <si>
    <t>신정마을주공
9단지아파트 정문
도로
(풍덕천로)</t>
  </si>
  <si>
    <t>신정마을상록
7단지아파트 앞
도로
(풍덕천로)</t>
  </si>
  <si>
    <t>신흥장로교회 맞음편
도로
(풍덕천로)</t>
  </si>
  <si>
    <t>풍덕천2동행정복지센터
버스정류장 앞
양차선
도로
(풍덕천로)</t>
  </si>
  <si>
    <t>풍덕천2동행정복지센터
버스정류장 앞
보도
(풍덕천로)</t>
  </si>
  <si>
    <t>풍덕천2동
행정복지센터 앞
도로
(풍덕천로)</t>
  </si>
  <si>
    <t>수지현대성우
8단지아파트 후문
도로
(풍덕천로)</t>
  </si>
  <si>
    <t>수지현대성우
8단지아파트 후문
보도
(풍덕천로)</t>
  </si>
  <si>
    <t>수지형대성우
8단지아파트 801동 앞
도로
(풍덕천로)</t>
  </si>
  <si>
    <t>정평중학교 사거리
도로
(풍덕천로)</t>
  </si>
  <si>
    <t>정평중학교 앞
양차선
도로
(풍덕천로)</t>
  </si>
  <si>
    <t>GS25 앞
교차로
도로
(풍덕천로)</t>
  </si>
  <si>
    <t>동행하는교회 앞
양차선
도로
(풍덕천로)</t>
  </si>
  <si>
    <t>정평공원 산책계단 앞
도로
(수지로)</t>
  </si>
  <si>
    <t>GS칼텍스 앞
도로
(수지로)</t>
  </si>
  <si>
    <t>태영데시양
삼거리
보도
(수지로)</t>
  </si>
  <si>
    <t>태영데시양
삼거리
도로
(수지로)</t>
  </si>
  <si>
    <t>태영/대우아파트
버스정류장 앞
도로
(수지로)</t>
  </si>
  <si>
    <t>푸른마을 푸르지오
삼거리
도로
(수지로)</t>
  </si>
  <si>
    <t>다이소 앞
도로
(수지로)</t>
  </si>
  <si>
    <t>현대오일뱅크 앞
양차선
도로
(수지로)</t>
  </si>
  <si>
    <t>성복동입구
교차로
도로
(수지로)</t>
  </si>
  <si>
    <t>가로등(성복동23-14)
보도
(수지로)</t>
  </si>
  <si>
    <t>속초종합어시장 앞
도로
(수지로)</t>
  </si>
  <si>
    <t>성복스퀘어 입구 앞
도로
(수지로)</t>
  </si>
  <si>
    <t>행복청국장 보리밥 앞
교차로
도로
(수지로)</t>
  </si>
  <si>
    <t>LG빌리지2차
두산기술원 맞음편
도로
(수지로)</t>
  </si>
  <si>
    <t>블루핸즈 앞
보도
(수지로)</t>
  </si>
  <si>
    <t>상현골프클럽입구
도로
(수지로)</t>
  </si>
  <si>
    <t>기아수지점 앞
교차로
도로
(수지로)</t>
  </si>
  <si>
    <t>돌풍 앞
도로
(수지로)</t>
  </si>
  <si>
    <t>파리바게트 앞
도로
(수지로)</t>
  </si>
  <si>
    <t>대진아파트 앞
보도
(수지로)</t>
  </si>
  <si>
    <t>대진아파트 앞
도로
(수지로)</t>
  </si>
  <si>
    <t>심곡마을
광교힐스테이트 아파트
양차선
도로
(수지로)</t>
  </si>
  <si>
    <t>한국모터스 앞
도로
(수지로)</t>
  </si>
  <si>
    <t>광교현대
프레미오 아파트 정문
양차선
도로
(수지로)</t>
  </si>
  <si>
    <t>개성손만두
도로
(수지로)</t>
  </si>
  <si>
    <t>상현 지구대
삼거리
도로
(수지로)</t>
  </si>
  <si>
    <t>포레나 광교상현
아파트101동
양차선
도로
(수지로)</t>
  </si>
  <si>
    <t>포레나광교상현
아파트 정문
양차선
도로
(수지로)</t>
  </si>
  <si>
    <t>포레나광교상현
버스정류장 앞
양차선
도로
(수지로)</t>
  </si>
  <si>
    <t>기아오토큐 상현점 앞
양차선
도로
(수지로)</t>
  </si>
  <si>
    <t>광교상현마을
현대아파트
버스정류장 맞음편
도로
(포은대로)</t>
  </si>
  <si>
    <t>에스피케이어학원 앞
도로
(포은대로)</t>
  </si>
  <si>
    <t>동그라미공방 앞
양차선
도로
(포은대로)</t>
  </si>
  <si>
    <t>교동면옥
용인상현점 맞음편
도로
(광교중앙로)</t>
  </si>
  <si>
    <t>IBK기업은행 앞
양차선
도로
(광교중앙로)</t>
  </si>
  <si>
    <t>상현중학교 앞
양차선
도로
(광교중앙로)</t>
  </si>
  <si>
    <t>옹암교
양차선
도로
(광교중앙로)</t>
  </si>
  <si>
    <t>광교마을상현역
사거리
도로
(광교중앙로)</t>
  </si>
  <si>
    <t>광교오오 부동산 앞
양차선
도로
(광교중앙로)</t>
  </si>
  <si>
    <t>삼형제김밥 앞
양차선
도로
(광교중앙로)</t>
  </si>
  <si>
    <t>핵밥 앞
양차선
도로
(광교중앙로)</t>
  </si>
  <si>
    <t>이삭토스트 앞
도로
(광교중앙로)</t>
  </si>
  <si>
    <t>컴포즈커피 앞
양차선
도로
(광교중앙로)</t>
  </si>
  <si>
    <t>다이소 앞
양차선
도로
(광교중앙로)</t>
  </si>
  <si>
    <t>광교유타워 앞
양차선
도로
(광교중앙로)</t>
  </si>
  <si>
    <t>광교마을 사거리
도로
(광교중앙로)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</si>
</sst>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4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A74555F-E7E3-46C0-9541-2771644F9CB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5%20&#45236;%20&#47928;&#49436;%20&#47784;&#51020;\01.%20&#50629;&#47924;&#44288;&#47144;%20&#47928;&#49436;&#50577;&#49885;\017%20&#51648;&#54616;&#50504;&#51204;&#51216;&#44160;(&#51648;&#54616;&#50504;&#51204;&#48277;)%20&#44288;&#47144;\&#9632;%20&#50672;&#46020;&#48324;%20&#51648;&#54616;&#50504;&#51204;&#51216;&#44160;(&#50977;&#50504;&#51216;&#44160;)%20&#44208;&#44284;&#48372;&#44256;&#49436;\2026&#45380;%20&#51648;&#54616;&#50504;&#51204;&#51216;&#44160;%20&#48372;&#44256;&#49436;\&#51648;&#54616;&#50504;&#51204;_&#44081;&#49888;_26-&#44221;&#44592;&#52384;&#46020;-&#49688;&#50896;&#49884;-&#48372;&#44256;&#49436;.xlsx" TargetMode="External"/><Relationship Id="rId1" Type="http://schemas.openxmlformats.org/officeDocument/2006/relationships/externalLinkPath" Target="&#51648;&#54616;&#50504;&#51204;_&#44081;&#49888;_26-&#44221;&#44592;&#52384;&#46020;-&#49688;&#50896;&#49884;-&#48372;&#44256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V2"/>
    </sheetNames>
    <sheetDataSet>
      <sheetData sheetId="0">
        <row r="2">
          <cell r="B2">
            <v>2026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tabSelected="1" workbookViewId="0">
      <selection activeCell="P12" sqref="P12"/>
    </sheetView>
  </sheetViews>
  <sheetFormatPr defaultRowHeight="17.25" x14ac:dyDescent="0.3"/>
  <sheetData>
    <row r="1" spans="1:21" x14ac:dyDescent="0.3">
      <c r="B1" t="s">
        <v>1</v>
      </c>
      <c r="C1" t="s">
        <v>2</v>
      </c>
    </row>
    <row r="2" spans="1:21" x14ac:dyDescent="0.3">
      <c r="B2" t="s">
        <v>445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>
        <v>1</v>
      </c>
      <c r="C5" s="9" t="s">
        <v>471</v>
      </c>
      <c r="D5" t="s">
        <v>248</v>
      </c>
      <c r="E5" t="s">
        <v>34</v>
      </c>
      <c r="F5" t="s">
        <v>249</v>
      </c>
      <c r="G5" t="s">
        <v>34</v>
      </c>
      <c r="H5">
        <v>10.3</v>
      </c>
      <c r="I5" t="s">
        <v>27</v>
      </c>
      <c r="J5">
        <v>0</v>
      </c>
      <c r="K5">
        <v>1</v>
      </c>
      <c r="L5">
        <v>0</v>
      </c>
      <c r="M5">
        <v>1</v>
      </c>
      <c r="N5">
        <v>0</v>
      </c>
      <c r="O5">
        <v>2</v>
      </c>
      <c r="P5" t="s">
        <v>29</v>
      </c>
      <c r="Q5" t="s">
        <v>27</v>
      </c>
      <c r="R5" t="s">
        <v>250</v>
      </c>
      <c r="S5" t="s">
        <v>32</v>
      </c>
      <c r="T5" t="s">
        <v>251</v>
      </c>
      <c r="U5" t="s">
        <v>32</v>
      </c>
    </row>
    <row r="6" spans="1:21" x14ac:dyDescent="0.3">
      <c r="A6">
        <v>2026</v>
      </c>
      <c r="B6">
        <v>2</v>
      </c>
      <c r="C6" t="s">
        <v>24</v>
      </c>
      <c r="D6" t="s">
        <v>252</v>
      </c>
      <c r="E6" t="s">
        <v>34</v>
      </c>
      <c r="F6" t="s">
        <v>35</v>
      </c>
      <c r="G6" t="s">
        <v>34</v>
      </c>
      <c r="H6">
        <v>10.3</v>
      </c>
      <c r="I6" t="s">
        <v>27</v>
      </c>
      <c r="J6">
        <v>0</v>
      </c>
      <c r="K6">
        <v>3</v>
      </c>
      <c r="L6">
        <v>0</v>
      </c>
      <c r="M6">
        <v>1</v>
      </c>
      <c r="N6">
        <v>0</v>
      </c>
      <c r="O6">
        <v>4</v>
      </c>
      <c r="P6" t="s">
        <v>29</v>
      </c>
      <c r="Q6" t="s">
        <v>27</v>
      </c>
      <c r="R6" t="s">
        <v>253</v>
      </c>
      <c r="S6" t="s">
        <v>32</v>
      </c>
      <c r="T6" t="s">
        <v>254</v>
      </c>
      <c r="U6" t="s">
        <v>32</v>
      </c>
    </row>
    <row r="7" spans="1:21" x14ac:dyDescent="0.3">
      <c r="A7">
        <v>2026</v>
      </c>
      <c r="B7">
        <v>3</v>
      </c>
      <c r="C7" t="s">
        <v>24</v>
      </c>
      <c r="D7" t="s">
        <v>255</v>
      </c>
      <c r="E7" t="s">
        <v>26</v>
      </c>
      <c r="F7" t="s">
        <v>249</v>
      </c>
      <c r="G7" t="s">
        <v>34</v>
      </c>
      <c r="H7">
        <v>10.3</v>
      </c>
      <c r="I7" t="s">
        <v>27</v>
      </c>
      <c r="J7">
        <v>3</v>
      </c>
      <c r="K7">
        <v>1</v>
      </c>
      <c r="L7">
        <v>0</v>
      </c>
      <c r="M7">
        <v>1</v>
      </c>
      <c r="N7">
        <v>0</v>
      </c>
      <c r="O7">
        <v>5</v>
      </c>
      <c r="P7" t="s">
        <v>29</v>
      </c>
      <c r="Q7" t="s">
        <v>256</v>
      </c>
      <c r="R7" t="s">
        <v>257</v>
      </c>
      <c r="S7" t="s">
        <v>32</v>
      </c>
      <c r="T7" t="s">
        <v>258</v>
      </c>
      <c r="U7" t="s">
        <v>259</v>
      </c>
    </row>
    <row r="8" spans="1:21" x14ac:dyDescent="0.3">
      <c r="A8">
        <v>2026</v>
      </c>
      <c r="B8">
        <v>4</v>
      </c>
      <c r="C8" t="s">
        <v>24</v>
      </c>
      <c r="D8" t="s">
        <v>260</v>
      </c>
      <c r="E8" t="s">
        <v>34</v>
      </c>
      <c r="F8" t="s">
        <v>35</v>
      </c>
      <c r="G8" t="s">
        <v>34</v>
      </c>
      <c r="H8">
        <v>10.3</v>
      </c>
      <c r="I8" t="s">
        <v>27</v>
      </c>
      <c r="J8">
        <v>0</v>
      </c>
      <c r="K8">
        <v>3</v>
      </c>
      <c r="L8">
        <v>0</v>
      </c>
      <c r="M8">
        <v>1</v>
      </c>
      <c r="N8">
        <v>0</v>
      </c>
      <c r="O8">
        <v>4</v>
      </c>
      <c r="P8" t="s">
        <v>29</v>
      </c>
      <c r="Q8" t="s">
        <v>27</v>
      </c>
      <c r="R8" t="s">
        <v>257</v>
      </c>
      <c r="S8" t="s">
        <v>32</v>
      </c>
      <c r="T8" t="s">
        <v>261</v>
      </c>
      <c r="U8" t="s">
        <v>32</v>
      </c>
    </row>
    <row r="9" spans="1:21" x14ac:dyDescent="0.3">
      <c r="A9">
        <v>2026</v>
      </c>
      <c r="B9">
        <v>5</v>
      </c>
      <c r="C9" t="s">
        <v>24</v>
      </c>
      <c r="D9" t="s">
        <v>262</v>
      </c>
      <c r="E9" t="s">
        <v>34</v>
      </c>
      <c r="F9" t="s">
        <v>446</v>
      </c>
      <c r="G9" t="s">
        <v>34</v>
      </c>
      <c r="H9">
        <v>10.3</v>
      </c>
      <c r="I9" t="s">
        <v>27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t="s">
        <v>29</v>
      </c>
      <c r="Q9" s="9" t="s">
        <v>468</v>
      </c>
      <c r="R9" t="s">
        <v>464</v>
      </c>
      <c r="S9" t="s">
        <v>32</v>
      </c>
      <c r="T9" t="s">
        <v>264</v>
      </c>
      <c r="U9" t="s">
        <v>259</v>
      </c>
    </row>
    <row r="10" spans="1:21" x14ac:dyDescent="0.3">
      <c r="A10">
        <v>2026</v>
      </c>
      <c r="B10">
        <v>6</v>
      </c>
      <c r="C10" t="s">
        <v>24</v>
      </c>
      <c r="D10" t="s">
        <v>265</v>
      </c>
      <c r="E10" t="s">
        <v>34</v>
      </c>
      <c r="F10" t="s">
        <v>47</v>
      </c>
      <c r="G10" t="s">
        <v>34</v>
      </c>
      <c r="H10">
        <v>10.3</v>
      </c>
      <c r="I10" t="s">
        <v>27</v>
      </c>
      <c r="J10">
        <v>0</v>
      </c>
      <c r="K10">
        <v>1</v>
      </c>
      <c r="L10">
        <v>0</v>
      </c>
      <c r="M10">
        <v>1</v>
      </c>
      <c r="N10">
        <v>0</v>
      </c>
      <c r="O10">
        <v>2</v>
      </c>
      <c r="P10" t="s">
        <v>29</v>
      </c>
      <c r="Q10" t="s">
        <v>27</v>
      </c>
      <c r="R10" t="s">
        <v>257</v>
      </c>
      <c r="S10" t="s">
        <v>32</v>
      </c>
      <c r="T10" t="s">
        <v>266</v>
      </c>
      <c r="U10" t="s">
        <v>32</v>
      </c>
    </row>
    <row r="11" spans="1:21" x14ac:dyDescent="0.3">
      <c r="A11">
        <v>2026</v>
      </c>
      <c r="B11">
        <v>7</v>
      </c>
      <c r="C11" t="s">
        <v>24</v>
      </c>
      <c r="D11" t="s">
        <v>267</v>
      </c>
      <c r="E11" t="s">
        <v>34</v>
      </c>
      <c r="F11" t="s">
        <v>35</v>
      </c>
      <c r="G11" t="s">
        <v>34</v>
      </c>
      <c r="H11">
        <v>10.3</v>
      </c>
      <c r="I11" t="s">
        <v>27</v>
      </c>
      <c r="J11">
        <v>0</v>
      </c>
      <c r="K11">
        <v>3</v>
      </c>
      <c r="L11">
        <v>0</v>
      </c>
      <c r="M11">
        <v>1</v>
      </c>
      <c r="N11">
        <v>0</v>
      </c>
      <c r="O11">
        <v>4</v>
      </c>
      <c r="P11" t="s">
        <v>29</v>
      </c>
      <c r="Q11" t="s">
        <v>27</v>
      </c>
      <c r="R11" t="s">
        <v>268</v>
      </c>
      <c r="S11" t="s">
        <v>32</v>
      </c>
      <c r="T11" t="s">
        <v>269</v>
      </c>
      <c r="U11" t="s">
        <v>32</v>
      </c>
    </row>
    <row r="12" spans="1:21" x14ac:dyDescent="0.3">
      <c r="A12">
        <v>2026</v>
      </c>
      <c r="B12">
        <v>8</v>
      </c>
      <c r="C12" t="s">
        <v>24</v>
      </c>
      <c r="D12" t="s">
        <v>270</v>
      </c>
      <c r="E12" s="9" t="s">
        <v>466</v>
      </c>
      <c r="F12" t="s">
        <v>446</v>
      </c>
      <c r="G12" t="s">
        <v>34</v>
      </c>
      <c r="H12">
        <v>10.3</v>
      </c>
      <c r="I12" t="s">
        <v>27</v>
      </c>
      <c r="J12">
        <v>3</v>
      </c>
      <c r="K12">
        <v>0</v>
      </c>
      <c r="L12">
        <v>0</v>
      </c>
      <c r="M12">
        <v>1</v>
      </c>
      <c r="N12">
        <v>0</v>
      </c>
      <c r="O12" s="9">
        <v>4</v>
      </c>
      <c r="P12" t="s">
        <v>29</v>
      </c>
      <c r="Q12" s="9" t="s">
        <v>465</v>
      </c>
      <c r="R12" t="s">
        <v>268</v>
      </c>
      <c r="S12" t="s">
        <v>32</v>
      </c>
      <c r="T12" t="s">
        <v>271</v>
      </c>
      <c r="U12" t="s">
        <v>259</v>
      </c>
    </row>
    <row r="13" spans="1:21" x14ac:dyDescent="0.3">
      <c r="A13">
        <v>2026</v>
      </c>
      <c r="B13">
        <v>9</v>
      </c>
      <c r="C13" t="s">
        <v>24</v>
      </c>
      <c r="D13" t="s">
        <v>272</v>
      </c>
      <c r="E13" t="s">
        <v>34</v>
      </c>
      <c r="F13" t="s">
        <v>249</v>
      </c>
      <c r="G13" t="s">
        <v>34</v>
      </c>
      <c r="H13">
        <v>10.3</v>
      </c>
      <c r="I13" t="s">
        <v>27</v>
      </c>
      <c r="J13">
        <v>0</v>
      </c>
      <c r="K13">
        <v>1</v>
      </c>
      <c r="L13">
        <v>0</v>
      </c>
      <c r="M13">
        <v>1</v>
      </c>
      <c r="N13">
        <v>0</v>
      </c>
      <c r="O13">
        <v>2</v>
      </c>
      <c r="P13" t="s">
        <v>29</v>
      </c>
      <c r="Q13" t="s">
        <v>27</v>
      </c>
      <c r="R13" t="s">
        <v>273</v>
      </c>
      <c r="S13" t="s">
        <v>32</v>
      </c>
      <c r="T13" t="s">
        <v>274</v>
      </c>
      <c r="U13" t="s">
        <v>32</v>
      </c>
    </row>
    <row r="14" spans="1:21" x14ac:dyDescent="0.3">
      <c r="A14">
        <v>2026</v>
      </c>
      <c r="B14">
        <v>10</v>
      </c>
      <c r="C14" t="s">
        <v>24</v>
      </c>
      <c r="D14" t="s">
        <v>275</v>
      </c>
      <c r="E14" t="s">
        <v>34</v>
      </c>
      <c r="F14" t="s">
        <v>35</v>
      </c>
      <c r="G14" t="s">
        <v>34</v>
      </c>
      <c r="H14">
        <v>10.3</v>
      </c>
      <c r="I14" t="s">
        <v>27</v>
      </c>
      <c r="J14">
        <v>0</v>
      </c>
      <c r="K14">
        <v>3</v>
      </c>
      <c r="L14">
        <v>0</v>
      </c>
      <c r="M14">
        <v>1</v>
      </c>
      <c r="N14">
        <v>0</v>
      </c>
      <c r="O14">
        <v>4</v>
      </c>
      <c r="P14" t="s">
        <v>29</v>
      </c>
      <c r="Q14" t="s">
        <v>27</v>
      </c>
      <c r="R14" t="s">
        <v>273</v>
      </c>
      <c r="S14" t="s">
        <v>32</v>
      </c>
      <c r="T14" t="s">
        <v>276</v>
      </c>
      <c r="U14" t="s">
        <v>32</v>
      </c>
    </row>
    <row r="15" spans="1:21" x14ac:dyDescent="0.3">
      <c r="A15">
        <v>2026</v>
      </c>
      <c r="B15">
        <v>11</v>
      </c>
      <c r="C15" t="s">
        <v>24</v>
      </c>
      <c r="D15" t="s">
        <v>277</v>
      </c>
      <c r="E15" t="s">
        <v>34</v>
      </c>
      <c r="F15" t="s">
        <v>35</v>
      </c>
      <c r="G15" t="s">
        <v>34</v>
      </c>
      <c r="H15">
        <v>10.3</v>
      </c>
      <c r="I15" t="s">
        <v>27</v>
      </c>
      <c r="J15">
        <v>0</v>
      </c>
      <c r="K15">
        <v>3</v>
      </c>
      <c r="L15">
        <v>0</v>
      </c>
      <c r="M15">
        <v>1</v>
      </c>
      <c r="N15">
        <v>0</v>
      </c>
      <c r="O15">
        <v>4</v>
      </c>
      <c r="P15" t="s">
        <v>29</v>
      </c>
      <c r="Q15" t="s">
        <v>27</v>
      </c>
      <c r="R15" t="s">
        <v>278</v>
      </c>
      <c r="S15" t="s">
        <v>32</v>
      </c>
      <c r="T15" t="s">
        <v>279</v>
      </c>
      <c r="U15" t="s">
        <v>32</v>
      </c>
    </row>
    <row r="16" spans="1:21" x14ac:dyDescent="0.3">
      <c r="A16">
        <v>2026</v>
      </c>
      <c r="B16">
        <v>12</v>
      </c>
      <c r="C16" t="s">
        <v>59</v>
      </c>
      <c r="D16" t="s">
        <v>280</v>
      </c>
      <c r="E16" t="s">
        <v>34</v>
      </c>
      <c r="F16" t="s">
        <v>446</v>
      </c>
      <c r="G16" t="s">
        <v>34</v>
      </c>
      <c r="H16">
        <v>10.3</v>
      </c>
      <c r="I16" t="s">
        <v>27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 t="s">
        <v>29</v>
      </c>
      <c r="Q16" t="s">
        <v>263</v>
      </c>
      <c r="R16" t="s">
        <v>281</v>
      </c>
      <c r="S16" t="s">
        <v>32</v>
      </c>
      <c r="T16" t="s">
        <v>282</v>
      </c>
      <c r="U16" t="s">
        <v>32</v>
      </c>
    </row>
    <row r="17" spans="1:21" x14ac:dyDescent="0.3">
      <c r="A17">
        <v>2026</v>
      </c>
      <c r="B17">
        <v>13</v>
      </c>
      <c r="C17" t="s">
        <v>59</v>
      </c>
      <c r="D17" t="s">
        <v>283</v>
      </c>
      <c r="E17" t="s">
        <v>34</v>
      </c>
      <c r="F17" t="s">
        <v>35</v>
      </c>
      <c r="G17" t="s">
        <v>34</v>
      </c>
      <c r="H17">
        <v>10.3</v>
      </c>
      <c r="I17" t="s">
        <v>27</v>
      </c>
      <c r="J17">
        <v>0</v>
      </c>
      <c r="K17">
        <v>3</v>
      </c>
      <c r="L17">
        <v>0</v>
      </c>
      <c r="M17">
        <v>1</v>
      </c>
      <c r="N17">
        <v>0</v>
      </c>
      <c r="O17">
        <v>4</v>
      </c>
      <c r="P17" t="s">
        <v>29</v>
      </c>
      <c r="Q17" t="s">
        <v>27</v>
      </c>
      <c r="R17" t="s">
        <v>281</v>
      </c>
      <c r="S17" t="s">
        <v>32</v>
      </c>
      <c r="T17" t="s">
        <v>284</v>
      </c>
      <c r="U17" t="s">
        <v>32</v>
      </c>
    </row>
    <row r="18" spans="1:21" x14ac:dyDescent="0.3">
      <c r="A18">
        <v>2026</v>
      </c>
      <c r="B18">
        <v>14</v>
      </c>
      <c r="C18" t="s">
        <v>59</v>
      </c>
      <c r="D18" t="s">
        <v>285</v>
      </c>
      <c r="E18" t="s">
        <v>34</v>
      </c>
      <c r="F18" t="s">
        <v>446</v>
      </c>
      <c r="G18" t="s">
        <v>34</v>
      </c>
      <c r="H18">
        <v>10.3</v>
      </c>
      <c r="I18" t="s">
        <v>27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t="s">
        <v>29</v>
      </c>
      <c r="Q18" t="s">
        <v>263</v>
      </c>
      <c r="R18" t="s">
        <v>286</v>
      </c>
      <c r="S18" t="s">
        <v>32</v>
      </c>
      <c r="T18" t="s">
        <v>287</v>
      </c>
      <c r="U18" t="s">
        <v>32</v>
      </c>
    </row>
    <row r="19" spans="1:21" x14ac:dyDescent="0.3">
      <c r="A19">
        <v>2026</v>
      </c>
      <c r="B19">
        <v>15</v>
      </c>
      <c r="C19" t="s">
        <v>59</v>
      </c>
      <c r="D19" t="s">
        <v>288</v>
      </c>
      <c r="E19" t="s">
        <v>34</v>
      </c>
      <c r="F19" t="s">
        <v>35</v>
      </c>
      <c r="G19" t="s">
        <v>34</v>
      </c>
      <c r="H19">
        <v>10.3</v>
      </c>
      <c r="I19" t="s">
        <v>27</v>
      </c>
      <c r="J19">
        <v>0</v>
      </c>
      <c r="K19">
        <v>3</v>
      </c>
      <c r="L19">
        <v>0</v>
      </c>
      <c r="M19">
        <v>1</v>
      </c>
      <c r="N19">
        <v>0</v>
      </c>
      <c r="O19">
        <v>4</v>
      </c>
      <c r="P19" t="s">
        <v>29</v>
      </c>
      <c r="Q19" t="s">
        <v>27</v>
      </c>
      <c r="R19" t="s">
        <v>289</v>
      </c>
      <c r="S19" t="s">
        <v>32</v>
      </c>
      <c r="T19" t="s">
        <v>290</v>
      </c>
      <c r="U19" t="s">
        <v>32</v>
      </c>
    </row>
    <row r="20" spans="1:21" x14ac:dyDescent="0.3">
      <c r="A20">
        <v>2026</v>
      </c>
      <c r="B20">
        <v>16</v>
      </c>
      <c r="C20" t="s">
        <v>59</v>
      </c>
      <c r="D20" t="s">
        <v>291</v>
      </c>
      <c r="E20" t="s">
        <v>34</v>
      </c>
      <c r="F20" t="s">
        <v>35</v>
      </c>
      <c r="G20" t="s">
        <v>34</v>
      </c>
      <c r="H20">
        <v>10.3</v>
      </c>
      <c r="I20" t="s">
        <v>27</v>
      </c>
      <c r="J20">
        <v>0</v>
      </c>
      <c r="K20">
        <v>3</v>
      </c>
      <c r="L20">
        <v>0</v>
      </c>
      <c r="M20">
        <v>1</v>
      </c>
      <c r="N20">
        <v>0</v>
      </c>
      <c r="O20">
        <v>4</v>
      </c>
      <c r="P20" t="s">
        <v>29</v>
      </c>
      <c r="Q20" t="s">
        <v>27</v>
      </c>
      <c r="R20" t="s">
        <v>292</v>
      </c>
      <c r="S20" t="s">
        <v>32</v>
      </c>
      <c r="T20" t="s">
        <v>293</v>
      </c>
      <c r="U20" t="s">
        <v>32</v>
      </c>
    </row>
    <row r="21" spans="1:21" x14ac:dyDescent="0.3">
      <c r="A21">
        <v>2026</v>
      </c>
      <c r="B21">
        <v>17</v>
      </c>
      <c r="C21" t="s">
        <v>59</v>
      </c>
      <c r="D21" t="s">
        <v>294</v>
      </c>
      <c r="E21" t="s">
        <v>34</v>
      </c>
      <c r="F21" t="s">
        <v>35</v>
      </c>
      <c r="G21" t="s">
        <v>34</v>
      </c>
      <c r="H21">
        <v>10.3</v>
      </c>
      <c r="I21" t="s">
        <v>27</v>
      </c>
      <c r="J21">
        <v>0</v>
      </c>
      <c r="K21">
        <v>3</v>
      </c>
      <c r="L21">
        <v>0</v>
      </c>
      <c r="M21">
        <v>1</v>
      </c>
      <c r="N21">
        <v>0</v>
      </c>
      <c r="O21">
        <v>4</v>
      </c>
      <c r="P21" t="s">
        <v>29</v>
      </c>
      <c r="Q21" t="s">
        <v>27</v>
      </c>
      <c r="R21" t="s">
        <v>295</v>
      </c>
      <c r="S21" t="s">
        <v>32</v>
      </c>
      <c r="T21" t="s">
        <v>296</v>
      </c>
      <c r="U21" t="s">
        <v>32</v>
      </c>
    </row>
    <row r="22" spans="1:21" x14ac:dyDescent="0.3">
      <c r="A22">
        <v>2026</v>
      </c>
      <c r="B22">
        <v>18</v>
      </c>
      <c r="C22" t="s">
        <v>59</v>
      </c>
      <c r="D22" t="s">
        <v>297</v>
      </c>
      <c r="E22" t="s">
        <v>34</v>
      </c>
      <c r="F22" t="s">
        <v>35</v>
      </c>
      <c r="G22" t="s">
        <v>34</v>
      </c>
      <c r="H22">
        <v>10.3</v>
      </c>
      <c r="I22" t="s">
        <v>27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">
        <v>29</v>
      </c>
      <c r="Q22" t="s">
        <v>27</v>
      </c>
      <c r="R22" t="s">
        <v>298</v>
      </c>
      <c r="S22" t="s">
        <v>32</v>
      </c>
      <c r="T22" t="s">
        <v>299</v>
      </c>
      <c r="U22" t="s">
        <v>32</v>
      </c>
    </row>
    <row r="23" spans="1:21" x14ac:dyDescent="0.3">
      <c r="A23">
        <v>2026</v>
      </c>
      <c r="B23">
        <v>19</v>
      </c>
      <c r="C23" t="s">
        <v>59</v>
      </c>
      <c r="D23" t="s">
        <v>300</v>
      </c>
      <c r="E23" t="s">
        <v>34</v>
      </c>
      <c r="F23" t="s">
        <v>35</v>
      </c>
      <c r="G23" t="s">
        <v>34</v>
      </c>
      <c r="H23">
        <v>10.3</v>
      </c>
      <c r="I23" t="s">
        <v>27</v>
      </c>
      <c r="J23">
        <v>0</v>
      </c>
      <c r="K23">
        <v>3</v>
      </c>
      <c r="L23">
        <v>0</v>
      </c>
      <c r="M23">
        <v>1</v>
      </c>
      <c r="N23">
        <v>0</v>
      </c>
      <c r="O23">
        <v>4</v>
      </c>
      <c r="P23" t="s">
        <v>29</v>
      </c>
      <c r="Q23" t="s">
        <v>27</v>
      </c>
      <c r="R23" t="s">
        <v>301</v>
      </c>
      <c r="S23" t="s">
        <v>32</v>
      </c>
      <c r="T23" t="s">
        <v>302</v>
      </c>
      <c r="U23" t="s">
        <v>32</v>
      </c>
    </row>
    <row r="24" spans="1:21" x14ac:dyDescent="0.3">
      <c r="A24">
        <v>2026</v>
      </c>
      <c r="B24">
        <v>20</v>
      </c>
      <c r="C24" t="s">
        <v>59</v>
      </c>
      <c r="D24" t="s">
        <v>303</v>
      </c>
      <c r="E24" t="s">
        <v>34</v>
      </c>
      <c r="F24" t="s">
        <v>35</v>
      </c>
      <c r="G24" t="s">
        <v>34</v>
      </c>
      <c r="H24">
        <v>10.3</v>
      </c>
      <c r="I24" t="s">
        <v>27</v>
      </c>
      <c r="J24">
        <v>0</v>
      </c>
      <c r="K24">
        <v>3</v>
      </c>
      <c r="L24">
        <v>0</v>
      </c>
      <c r="M24">
        <v>1</v>
      </c>
      <c r="N24">
        <v>0</v>
      </c>
      <c r="O24">
        <v>4</v>
      </c>
      <c r="P24" t="s">
        <v>29</v>
      </c>
      <c r="Q24" t="s">
        <v>27</v>
      </c>
      <c r="R24" t="s">
        <v>301</v>
      </c>
      <c r="S24" t="s">
        <v>32</v>
      </c>
      <c r="T24" t="s">
        <v>304</v>
      </c>
      <c r="U24" t="s">
        <v>32</v>
      </c>
    </row>
    <row r="25" spans="1:21" x14ac:dyDescent="0.3">
      <c r="A25">
        <v>2026</v>
      </c>
      <c r="B25">
        <v>21</v>
      </c>
      <c r="C25" t="s">
        <v>59</v>
      </c>
      <c r="D25" t="s">
        <v>305</v>
      </c>
      <c r="E25" t="s">
        <v>34</v>
      </c>
      <c r="F25" t="s">
        <v>35</v>
      </c>
      <c r="G25" t="s">
        <v>34</v>
      </c>
      <c r="H25">
        <v>10.3</v>
      </c>
      <c r="I25" t="s">
        <v>27</v>
      </c>
      <c r="J25">
        <v>0</v>
      </c>
      <c r="K25">
        <v>3</v>
      </c>
      <c r="L25">
        <v>0</v>
      </c>
      <c r="M25">
        <v>1</v>
      </c>
      <c r="N25">
        <v>0</v>
      </c>
      <c r="O25">
        <v>4</v>
      </c>
      <c r="P25" t="s">
        <v>29</v>
      </c>
      <c r="Q25" t="s">
        <v>263</v>
      </c>
      <c r="R25" t="s">
        <v>306</v>
      </c>
      <c r="S25" t="s">
        <v>32</v>
      </c>
      <c r="T25" t="s">
        <v>469</v>
      </c>
      <c r="U25" t="s">
        <v>32</v>
      </c>
    </row>
    <row r="26" spans="1:21" x14ac:dyDescent="0.3">
      <c r="A26">
        <v>2026</v>
      </c>
      <c r="B26">
        <v>22</v>
      </c>
      <c r="C26" t="s">
        <v>59</v>
      </c>
      <c r="D26" t="s">
        <v>307</v>
      </c>
      <c r="E26" t="s">
        <v>34</v>
      </c>
      <c r="F26" t="s">
        <v>35</v>
      </c>
      <c r="G26" t="s">
        <v>34</v>
      </c>
      <c r="H26">
        <v>10.3</v>
      </c>
      <c r="I26" t="s">
        <v>27</v>
      </c>
      <c r="J26">
        <v>0</v>
      </c>
      <c r="K26">
        <v>3</v>
      </c>
      <c r="L26">
        <v>0</v>
      </c>
      <c r="M26">
        <v>1</v>
      </c>
      <c r="N26">
        <v>0</v>
      </c>
      <c r="O26">
        <v>4</v>
      </c>
      <c r="P26" t="s">
        <v>29</v>
      </c>
      <c r="Q26" t="s">
        <v>27</v>
      </c>
      <c r="R26" t="s">
        <v>308</v>
      </c>
      <c r="S26" t="s">
        <v>32</v>
      </c>
      <c r="T26" t="s">
        <v>309</v>
      </c>
      <c r="U26" t="s">
        <v>32</v>
      </c>
    </row>
    <row r="27" spans="1:21" x14ac:dyDescent="0.3">
      <c r="A27">
        <v>2026</v>
      </c>
      <c r="B27">
        <v>23</v>
      </c>
      <c r="C27" t="s">
        <v>59</v>
      </c>
      <c r="D27" t="s">
        <v>310</v>
      </c>
      <c r="E27" t="s">
        <v>34</v>
      </c>
      <c r="F27" t="s">
        <v>35</v>
      </c>
      <c r="G27" t="s">
        <v>34</v>
      </c>
      <c r="H27">
        <v>10.3</v>
      </c>
      <c r="I27" t="s">
        <v>27</v>
      </c>
      <c r="J27">
        <v>0</v>
      </c>
      <c r="K27">
        <v>3</v>
      </c>
      <c r="L27">
        <v>0</v>
      </c>
      <c r="M27">
        <v>1</v>
      </c>
      <c r="N27">
        <v>0</v>
      </c>
      <c r="O27">
        <v>4</v>
      </c>
      <c r="P27" t="s">
        <v>29</v>
      </c>
      <c r="Q27" t="s">
        <v>27</v>
      </c>
      <c r="R27" t="s">
        <v>311</v>
      </c>
      <c r="S27" t="s">
        <v>32</v>
      </c>
      <c r="T27" t="s">
        <v>312</v>
      </c>
      <c r="U27" t="s">
        <v>32</v>
      </c>
    </row>
    <row r="28" spans="1:21" x14ac:dyDescent="0.3">
      <c r="A28">
        <v>2026</v>
      </c>
      <c r="B28">
        <v>24</v>
      </c>
      <c r="C28" t="s">
        <v>59</v>
      </c>
      <c r="D28" t="s">
        <v>313</v>
      </c>
      <c r="E28" t="s">
        <v>34</v>
      </c>
      <c r="F28" t="s">
        <v>446</v>
      </c>
      <c r="G28" t="s">
        <v>34</v>
      </c>
      <c r="H28">
        <v>10.3</v>
      </c>
      <c r="I28" t="s">
        <v>27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 t="s">
        <v>29</v>
      </c>
      <c r="Q28" t="s">
        <v>263</v>
      </c>
      <c r="R28" t="s">
        <v>311</v>
      </c>
      <c r="S28" t="s">
        <v>32</v>
      </c>
      <c r="T28" t="s">
        <v>314</v>
      </c>
      <c r="U28" t="s">
        <v>32</v>
      </c>
    </row>
    <row r="29" spans="1:21" x14ac:dyDescent="0.3">
      <c r="A29">
        <v>2026</v>
      </c>
      <c r="B29">
        <v>25</v>
      </c>
      <c r="C29" t="s">
        <v>59</v>
      </c>
      <c r="D29" t="s">
        <v>315</v>
      </c>
      <c r="E29" t="s">
        <v>34</v>
      </c>
      <c r="F29" t="s">
        <v>35</v>
      </c>
      <c r="G29" t="s">
        <v>34</v>
      </c>
      <c r="H29">
        <v>10.3</v>
      </c>
      <c r="I29" t="s">
        <v>27</v>
      </c>
      <c r="J29">
        <v>0</v>
      </c>
      <c r="K29">
        <v>3</v>
      </c>
      <c r="L29">
        <v>0</v>
      </c>
      <c r="M29">
        <v>1</v>
      </c>
      <c r="N29">
        <v>0</v>
      </c>
      <c r="O29">
        <v>4</v>
      </c>
      <c r="P29" t="s">
        <v>29</v>
      </c>
      <c r="Q29" t="s">
        <v>27</v>
      </c>
      <c r="R29" t="s">
        <v>316</v>
      </c>
      <c r="S29" t="s">
        <v>32</v>
      </c>
      <c r="T29" t="s">
        <v>317</v>
      </c>
      <c r="U29" t="s">
        <v>32</v>
      </c>
    </row>
    <row r="30" spans="1:21" x14ac:dyDescent="0.3">
      <c r="A30">
        <v>2026</v>
      </c>
      <c r="B30">
        <v>26</v>
      </c>
      <c r="C30" t="s">
        <v>59</v>
      </c>
      <c r="D30" t="s">
        <v>318</v>
      </c>
      <c r="E30" t="s">
        <v>34</v>
      </c>
      <c r="F30" t="s">
        <v>35</v>
      </c>
      <c r="G30" t="s">
        <v>34</v>
      </c>
      <c r="H30">
        <v>10.3</v>
      </c>
      <c r="I30" t="s">
        <v>27</v>
      </c>
      <c r="J30">
        <v>0</v>
      </c>
      <c r="K30">
        <v>3</v>
      </c>
      <c r="L30">
        <v>0</v>
      </c>
      <c r="M30">
        <v>1</v>
      </c>
      <c r="N30">
        <v>0</v>
      </c>
      <c r="O30">
        <v>4</v>
      </c>
      <c r="P30" t="s">
        <v>29</v>
      </c>
      <c r="Q30" t="s">
        <v>27</v>
      </c>
      <c r="R30" t="s">
        <v>316</v>
      </c>
      <c r="S30" t="s">
        <v>32</v>
      </c>
      <c r="T30" t="s">
        <v>319</v>
      </c>
      <c r="U30" t="s">
        <v>32</v>
      </c>
    </row>
    <row r="31" spans="1:21" x14ac:dyDescent="0.3">
      <c r="A31">
        <v>2026</v>
      </c>
      <c r="B31">
        <v>27</v>
      </c>
      <c r="C31" t="s">
        <v>59</v>
      </c>
      <c r="D31" t="s">
        <v>320</v>
      </c>
      <c r="E31" t="s">
        <v>34</v>
      </c>
      <c r="F31" t="s">
        <v>35</v>
      </c>
      <c r="G31" t="s">
        <v>34</v>
      </c>
      <c r="H31">
        <v>10.3</v>
      </c>
      <c r="I31" t="s">
        <v>27</v>
      </c>
      <c r="J31">
        <v>0</v>
      </c>
      <c r="K31">
        <v>3</v>
      </c>
      <c r="L31">
        <v>0</v>
      </c>
      <c r="M31">
        <v>1</v>
      </c>
      <c r="N31">
        <v>0</v>
      </c>
      <c r="O31">
        <v>4</v>
      </c>
      <c r="P31" t="s">
        <v>29</v>
      </c>
      <c r="Q31" t="s">
        <v>27</v>
      </c>
      <c r="R31" t="s">
        <v>321</v>
      </c>
      <c r="S31" t="s">
        <v>32</v>
      </c>
      <c r="T31" t="s">
        <v>322</v>
      </c>
      <c r="U31" t="s">
        <v>32</v>
      </c>
    </row>
    <row r="32" spans="1:21" x14ac:dyDescent="0.3">
      <c r="A32">
        <v>2026</v>
      </c>
      <c r="B32">
        <v>28</v>
      </c>
      <c r="C32" t="s">
        <v>59</v>
      </c>
      <c r="D32" t="s">
        <v>323</v>
      </c>
      <c r="E32" t="s">
        <v>34</v>
      </c>
      <c r="F32" t="s">
        <v>35</v>
      </c>
      <c r="G32" t="s">
        <v>34</v>
      </c>
      <c r="H32">
        <v>10.3</v>
      </c>
      <c r="I32" t="s">
        <v>27</v>
      </c>
      <c r="J32">
        <v>0</v>
      </c>
      <c r="K32">
        <v>3</v>
      </c>
      <c r="L32">
        <v>0</v>
      </c>
      <c r="M32">
        <v>1</v>
      </c>
      <c r="N32">
        <v>0</v>
      </c>
      <c r="O32">
        <v>4</v>
      </c>
      <c r="P32" t="s">
        <v>29</v>
      </c>
      <c r="Q32" t="s">
        <v>263</v>
      </c>
      <c r="R32" t="s">
        <v>324</v>
      </c>
      <c r="S32" t="s">
        <v>32</v>
      </c>
      <c r="T32" t="s">
        <v>325</v>
      </c>
      <c r="U32" t="s">
        <v>32</v>
      </c>
    </row>
    <row r="33" spans="1:21" x14ac:dyDescent="0.3">
      <c r="A33">
        <v>2026</v>
      </c>
      <c r="B33">
        <v>29</v>
      </c>
      <c r="C33" t="s">
        <v>59</v>
      </c>
      <c r="D33" t="s">
        <v>326</v>
      </c>
      <c r="E33" t="s">
        <v>34</v>
      </c>
      <c r="F33" t="s">
        <v>35</v>
      </c>
      <c r="G33" t="s">
        <v>34</v>
      </c>
      <c r="H33">
        <v>10.3</v>
      </c>
      <c r="I33" t="s">
        <v>27</v>
      </c>
      <c r="J33">
        <v>0</v>
      </c>
      <c r="K33">
        <v>3</v>
      </c>
      <c r="L33">
        <v>0</v>
      </c>
      <c r="M33">
        <v>1</v>
      </c>
      <c r="N33">
        <v>0</v>
      </c>
      <c r="O33">
        <v>4</v>
      </c>
      <c r="P33" t="s">
        <v>29</v>
      </c>
      <c r="Q33" t="s">
        <v>27</v>
      </c>
      <c r="R33" t="s">
        <v>99</v>
      </c>
      <c r="S33" t="s">
        <v>32</v>
      </c>
      <c r="T33" t="s">
        <v>99</v>
      </c>
      <c r="U33" t="s">
        <v>32</v>
      </c>
    </row>
    <row r="34" spans="1:21" x14ac:dyDescent="0.3">
      <c r="A34">
        <v>2026</v>
      </c>
      <c r="B34">
        <v>30</v>
      </c>
      <c r="C34" t="s">
        <v>59</v>
      </c>
      <c r="D34" t="s">
        <v>327</v>
      </c>
      <c r="E34" t="s">
        <v>34</v>
      </c>
      <c r="F34" t="s">
        <v>35</v>
      </c>
      <c r="G34" t="s">
        <v>34</v>
      </c>
      <c r="H34">
        <v>10.3</v>
      </c>
      <c r="I34" t="s">
        <v>27</v>
      </c>
      <c r="J34">
        <v>0</v>
      </c>
      <c r="K34">
        <v>3</v>
      </c>
      <c r="L34">
        <v>0</v>
      </c>
      <c r="M34">
        <v>1</v>
      </c>
      <c r="N34">
        <v>0</v>
      </c>
      <c r="O34">
        <v>4</v>
      </c>
      <c r="P34" t="s">
        <v>29</v>
      </c>
      <c r="Q34" t="s">
        <v>27</v>
      </c>
      <c r="R34" t="s">
        <v>328</v>
      </c>
      <c r="S34" t="s">
        <v>32</v>
      </c>
      <c r="T34" t="s">
        <v>329</v>
      </c>
      <c r="U34" t="s">
        <v>32</v>
      </c>
    </row>
    <row r="35" spans="1:21" x14ac:dyDescent="0.3">
      <c r="A35">
        <v>2026</v>
      </c>
      <c r="B35">
        <v>31</v>
      </c>
      <c r="C35" t="s">
        <v>59</v>
      </c>
      <c r="D35" t="s">
        <v>330</v>
      </c>
      <c r="E35" t="s">
        <v>34</v>
      </c>
      <c r="F35" t="s">
        <v>35</v>
      </c>
      <c r="G35" t="s">
        <v>34</v>
      </c>
      <c r="H35">
        <v>10.3</v>
      </c>
      <c r="I35" t="s">
        <v>27</v>
      </c>
      <c r="J35">
        <v>0</v>
      </c>
      <c r="K35">
        <v>3</v>
      </c>
      <c r="L35">
        <v>0</v>
      </c>
      <c r="M35">
        <v>1</v>
      </c>
      <c r="N35">
        <v>0</v>
      </c>
      <c r="O35">
        <v>4</v>
      </c>
      <c r="P35" t="s">
        <v>29</v>
      </c>
      <c r="Q35" t="s">
        <v>27</v>
      </c>
      <c r="R35" t="s">
        <v>331</v>
      </c>
      <c r="S35" t="s">
        <v>32</v>
      </c>
      <c r="T35" t="s">
        <v>332</v>
      </c>
      <c r="U35" t="s">
        <v>32</v>
      </c>
    </row>
    <row r="36" spans="1:21" x14ac:dyDescent="0.3">
      <c r="A36">
        <v>2026</v>
      </c>
      <c r="B36">
        <v>32</v>
      </c>
      <c r="C36" t="s">
        <v>59</v>
      </c>
      <c r="D36" t="s">
        <v>333</v>
      </c>
      <c r="E36" t="s">
        <v>34</v>
      </c>
      <c r="F36" t="s">
        <v>35</v>
      </c>
      <c r="G36" t="s">
        <v>34</v>
      </c>
      <c r="H36">
        <v>10.3</v>
      </c>
      <c r="I36" t="s">
        <v>27</v>
      </c>
      <c r="J36">
        <v>0</v>
      </c>
      <c r="K36">
        <v>3</v>
      </c>
      <c r="L36">
        <v>0</v>
      </c>
      <c r="M36">
        <v>1</v>
      </c>
      <c r="N36">
        <v>0</v>
      </c>
      <c r="O36">
        <v>4</v>
      </c>
      <c r="P36" t="s">
        <v>29</v>
      </c>
      <c r="Q36" t="s">
        <v>27</v>
      </c>
      <c r="R36" t="s">
        <v>334</v>
      </c>
      <c r="S36" t="s">
        <v>32</v>
      </c>
      <c r="T36" t="s">
        <v>335</v>
      </c>
      <c r="U36" t="s">
        <v>32</v>
      </c>
    </row>
    <row r="37" spans="1:21" x14ac:dyDescent="0.3">
      <c r="A37">
        <v>2026</v>
      </c>
      <c r="B37">
        <v>33</v>
      </c>
      <c r="C37" t="s">
        <v>59</v>
      </c>
      <c r="D37" t="s">
        <v>336</v>
      </c>
      <c r="E37" t="s">
        <v>34</v>
      </c>
      <c r="F37" t="s">
        <v>44</v>
      </c>
      <c r="G37" t="s">
        <v>34</v>
      </c>
      <c r="H37">
        <v>10.3</v>
      </c>
      <c r="I37" t="s">
        <v>27</v>
      </c>
      <c r="J37">
        <v>0</v>
      </c>
      <c r="K37">
        <v>1</v>
      </c>
      <c r="L37">
        <v>0</v>
      </c>
      <c r="M37">
        <v>1</v>
      </c>
      <c r="N37">
        <v>0</v>
      </c>
      <c r="O37">
        <v>2</v>
      </c>
      <c r="P37" t="s">
        <v>29</v>
      </c>
      <c r="Q37" t="s">
        <v>27</v>
      </c>
      <c r="R37" t="s">
        <v>337</v>
      </c>
      <c r="S37" t="s">
        <v>32</v>
      </c>
      <c r="T37" t="s">
        <v>338</v>
      </c>
      <c r="U37" t="s">
        <v>32</v>
      </c>
    </row>
    <row r="38" spans="1:21" x14ac:dyDescent="0.3">
      <c r="A38">
        <v>2026</v>
      </c>
      <c r="B38">
        <v>34</v>
      </c>
      <c r="C38" t="s">
        <v>59</v>
      </c>
      <c r="D38" t="s">
        <v>339</v>
      </c>
      <c r="E38" t="s">
        <v>34</v>
      </c>
      <c r="F38" t="s">
        <v>446</v>
      </c>
      <c r="G38" t="s">
        <v>34</v>
      </c>
      <c r="H38">
        <v>10.3</v>
      </c>
      <c r="I38" t="s">
        <v>27</v>
      </c>
      <c r="J38">
        <v>0</v>
      </c>
      <c r="K38">
        <v>1</v>
      </c>
      <c r="L38">
        <v>0</v>
      </c>
      <c r="M38">
        <v>1</v>
      </c>
      <c r="N38">
        <v>0</v>
      </c>
      <c r="O38">
        <v>2</v>
      </c>
      <c r="P38" t="s">
        <v>29</v>
      </c>
      <c r="Q38" t="s">
        <v>27</v>
      </c>
      <c r="R38" t="s">
        <v>340</v>
      </c>
      <c r="S38" t="s">
        <v>32</v>
      </c>
      <c r="T38" t="s">
        <v>341</v>
      </c>
      <c r="U38" t="s">
        <v>32</v>
      </c>
    </row>
    <row r="39" spans="1:21" x14ac:dyDescent="0.3">
      <c r="A39">
        <v>2026</v>
      </c>
      <c r="B39">
        <v>35</v>
      </c>
      <c r="C39" t="s">
        <v>59</v>
      </c>
      <c r="D39" t="s">
        <v>342</v>
      </c>
      <c r="E39" t="s">
        <v>34</v>
      </c>
      <c r="F39" t="s">
        <v>35</v>
      </c>
      <c r="G39" t="s">
        <v>34</v>
      </c>
      <c r="H39">
        <v>10.3</v>
      </c>
      <c r="I39" t="s">
        <v>27</v>
      </c>
      <c r="J39">
        <v>0</v>
      </c>
      <c r="K39">
        <v>3</v>
      </c>
      <c r="L39">
        <v>0</v>
      </c>
      <c r="M39">
        <v>1</v>
      </c>
      <c r="N39">
        <v>0</v>
      </c>
      <c r="O39">
        <v>4</v>
      </c>
      <c r="P39" t="s">
        <v>29</v>
      </c>
      <c r="Q39" t="s">
        <v>27</v>
      </c>
      <c r="R39" t="s">
        <v>343</v>
      </c>
      <c r="S39" t="s">
        <v>32</v>
      </c>
      <c r="T39" t="s">
        <v>344</v>
      </c>
      <c r="U39" t="s">
        <v>32</v>
      </c>
    </row>
    <row r="40" spans="1:21" x14ac:dyDescent="0.3">
      <c r="A40">
        <v>2026</v>
      </c>
      <c r="B40">
        <v>36</v>
      </c>
      <c r="C40" t="s">
        <v>59</v>
      </c>
      <c r="D40" t="s">
        <v>345</v>
      </c>
      <c r="E40" t="s">
        <v>34</v>
      </c>
      <c r="F40" t="s">
        <v>35</v>
      </c>
      <c r="G40" t="s">
        <v>34</v>
      </c>
      <c r="H40">
        <v>10.3</v>
      </c>
      <c r="I40" t="s">
        <v>27</v>
      </c>
      <c r="J40">
        <v>0</v>
      </c>
      <c r="K40">
        <v>3</v>
      </c>
      <c r="L40">
        <v>0</v>
      </c>
      <c r="M40">
        <v>1</v>
      </c>
      <c r="N40">
        <v>0</v>
      </c>
      <c r="O40">
        <v>4</v>
      </c>
      <c r="P40" t="s">
        <v>29</v>
      </c>
      <c r="Q40" t="s">
        <v>27</v>
      </c>
      <c r="R40" t="s">
        <v>346</v>
      </c>
      <c r="S40" t="s">
        <v>32</v>
      </c>
      <c r="T40" t="s">
        <v>347</v>
      </c>
      <c r="U40" t="s">
        <v>32</v>
      </c>
    </row>
    <row r="41" spans="1:21" x14ac:dyDescent="0.3">
      <c r="A41">
        <v>2026</v>
      </c>
      <c r="B41">
        <v>37</v>
      </c>
      <c r="C41" t="s">
        <v>59</v>
      </c>
      <c r="D41" t="s">
        <v>348</v>
      </c>
      <c r="E41" t="s">
        <v>34</v>
      </c>
      <c r="F41" t="s">
        <v>35</v>
      </c>
      <c r="G41" t="s">
        <v>34</v>
      </c>
      <c r="H41">
        <v>10.3</v>
      </c>
      <c r="I41" t="s">
        <v>27</v>
      </c>
      <c r="J41">
        <v>0</v>
      </c>
      <c r="K41">
        <v>3</v>
      </c>
      <c r="L41">
        <v>0</v>
      </c>
      <c r="M41">
        <v>1</v>
      </c>
      <c r="N41">
        <v>0</v>
      </c>
      <c r="O41">
        <v>4</v>
      </c>
      <c r="P41" t="s">
        <v>29</v>
      </c>
      <c r="Q41" t="s">
        <v>27</v>
      </c>
      <c r="R41" t="s">
        <v>153</v>
      </c>
      <c r="S41" t="s">
        <v>32</v>
      </c>
      <c r="T41" t="s">
        <v>153</v>
      </c>
      <c r="U41" t="s">
        <v>32</v>
      </c>
    </row>
    <row r="42" spans="1:21" x14ac:dyDescent="0.3">
      <c r="A42">
        <v>2026</v>
      </c>
      <c r="B42">
        <v>38</v>
      </c>
      <c r="C42" t="s">
        <v>59</v>
      </c>
      <c r="D42" t="s">
        <v>349</v>
      </c>
      <c r="E42" t="s">
        <v>34</v>
      </c>
      <c r="F42" t="s">
        <v>44</v>
      </c>
      <c r="G42" t="s">
        <v>34</v>
      </c>
      <c r="H42">
        <v>10.3</v>
      </c>
      <c r="I42" t="s">
        <v>27</v>
      </c>
      <c r="J42">
        <v>0</v>
      </c>
      <c r="K42">
        <v>1</v>
      </c>
      <c r="L42">
        <v>0</v>
      </c>
      <c r="M42">
        <v>1</v>
      </c>
      <c r="N42">
        <v>0</v>
      </c>
      <c r="O42">
        <v>2</v>
      </c>
      <c r="P42" t="s">
        <v>29</v>
      </c>
      <c r="Q42" t="s">
        <v>27</v>
      </c>
      <c r="R42" t="s">
        <v>350</v>
      </c>
      <c r="S42" t="s">
        <v>32</v>
      </c>
      <c r="T42" t="s">
        <v>351</v>
      </c>
      <c r="U42" t="s">
        <v>32</v>
      </c>
    </row>
    <row r="43" spans="1:21" x14ac:dyDescent="0.3">
      <c r="A43">
        <v>2026</v>
      </c>
      <c r="B43">
        <v>39</v>
      </c>
      <c r="C43" t="s">
        <v>59</v>
      </c>
      <c r="D43" t="s">
        <v>352</v>
      </c>
      <c r="E43" t="s">
        <v>34</v>
      </c>
      <c r="F43" t="s">
        <v>35</v>
      </c>
      <c r="G43" t="s">
        <v>34</v>
      </c>
      <c r="H43">
        <v>10.3</v>
      </c>
      <c r="I43" t="s">
        <v>27</v>
      </c>
      <c r="J43">
        <v>0</v>
      </c>
      <c r="K43">
        <v>3</v>
      </c>
      <c r="L43">
        <v>0</v>
      </c>
      <c r="M43">
        <v>1</v>
      </c>
      <c r="N43">
        <v>0</v>
      </c>
      <c r="O43">
        <v>4</v>
      </c>
      <c r="P43" t="s">
        <v>29</v>
      </c>
      <c r="Q43" t="s">
        <v>27</v>
      </c>
      <c r="R43" t="s">
        <v>350</v>
      </c>
      <c r="S43" t="s">
        <v>32</v>
      </c>
      <c r="T43" t="s">
        <v>353</v>
      </c>
      <c r="U43" t="s">
        <v>32</v>
      </c>
    </row>
    <row r="44" spans="1:21" x14ac:dyDescent="0.3">
      <c r="A44">
        <v>2026</v>
      </c>
      <c r="B44">
        <v>40</v>
      </c>
      <c r="C44" t="s">
        <v>59</v>
      </c>
      <c r="D44" t="s">
        <v>354</v>
      </c>
      <c r="E44" t="s">
        <v>34</v>
      </c>
      <c r="F44" t="s">
        <v>44</v>
      </c>
      <c r="G44" t="s">
        <v>34</v>
      </c>
      <c r="H44">
        <v>10.3</v>
      </c>
      <c r="I44" t="s">
        <v>27</v>
      </c>
      <c r="J44">
        <v>0</v>
      </c>
      <c r="K44">
        <v>1</v>
      </c>
      <c r="L44">
        <v>0</v>
      </c>
      <c r="M44">
        <v>1</v>
      </c>
      <c r="N44">
        <v>0</v>
      </c>
      <c r="O44">
        <v>2</v>
      </c>
      <c r="P44" t="s">
        <v>29</v>
      </c>
      <c r="Q44" t="s">
        <v>27</v>
      </c>
      <c r="R44" t="s">
        <v>350</v>
      </c>
      <c r="S44" t="s">
        <v>32</v>
      </c>
      <c r="T44" t="s">
        <v>355</v>
      </c>
      <c r="U44" t="s">
        <v>32</v>
      </c>
    </row>
    <row r="45" spans="1:21" x14ac:dyDescent="0.3">
      <c r="A45">
        <v>2026</v>
      </c>
      <c r="B45">
        <v>41</v>
      </c>
      <c r="C45" t="s">
        <v>160</v>
      </c>
      <c r="D45" t="s">
        <v>356</v>
      </c>
      <c r="E45" t="s">
        <v>34</v>
      </c>
      <c r="F45" t="s">
        <v>35</v>
      </c>
      <c r="G45" t="s">
        <v>34</v>
      </c>
      <c r="H45">
        <v>10.3</v>
      </c>
      <c r="I45" t="s">
        <v>27</v>
      </c>
      <c r="J45">
        <v>0</v>
      </c>
      <c r="K45">
        <v>3</v>
      </c>
      <c r="L45">
        <v>0</v>
      </c>
      <c r="M45">
        <v>1</v>
      </c>
      <c r="N45">
        <v>0</v>
      </c>
      <c r="O45">
        <v>4</v>
      </c>
      <c r="P45" t="s">
        <v>29</v>
      </c>
      <c r="Q45" t="s">
        <v>27</v>
      </c>
      <c r="R45" t="s">
        <v>357</v>
      </c>
      <c r="S45" t="s">
        <v>32</v>
      </c>
      <c r="T45" t="s">
        <v>358</v>
      </c>
      <c r="U45" t="s">
        <v>32</v>
      </c>
    </row>
    <row r="46" spans="1:21" x14ac:dyDescent="0.3">
      <c r="A46">
        <v>2026</v>
      </c>
      <c r="B46">
        <v>42</v>
      </c>
      <c r="C46" t="s">
        <v>160</v>
      </c>
      <c r="D46" t="s">
        <v>359</v>
      </c>
      <c r="E46" t="s">
        <v>34</v>
      </c>
      <c r="F46" t="s">
        <v>249</v>
      </c>
      <c r="G46" t="s">
        <v>34</v>
      </c>
      <c r="H46">
        <v>10.3</v>
      </c>
      <c r="I46" t="s">
        <v>27</v>
      </c>
      <c r="J46">
        <v>0</v>
      </c>
      <c r="K46">
        <v>1</v>
      </c>
      <c r="L46">
        <v>0</v>
      </c>
      <c r="M46">
        <v>1</v>
      </c>
      <c r="N46">
        <v>0</v>
      </c>
      <c r="O46">
        <v>2</v>
      </c>
      <c r="P46" t="s">
        <v>29</v>
      </c>
      <c r="Q46" t="s">
        <v>27</v>
      </c>
      <c r="R46" t="s">
        <v>360</v>
      </c>
      <c r="S46" t="s">
        <v>32</v>
      </c>
      <c r="T46" t="s">
        <v>361</v>
      </c>
      <c r="U46" t="s">
        <v>32</v>
      </c>
    </row>
    <row r="47" spans="1:21" x14ac:dyDescent="0.3">
      <c r="A47">
        <v>2026</v>
      </c>
      <c r="B47">
        <v>43</v>
      </c>
      <c r="C47" t="s">
        <v>160</v>
      </c>
      <c r="D47" t="s">
        <v>362</v>
      </c>
      <c r="E47" t="s">
        <v>34</v>
      </c>
      <c r="F47" t="s">
        <v>35</v>
      </c>
      <c r="G47" t="s">
        <v>34</v>
      </c>
      <c r="H47">
        <v>10.3</v>
      </c>
      <c r="I47" t="s">
        <v>27</v>
      </c>
      <c r="J47">
        <v>0</v>
      </c>
      <c r="K47">
        <v>3</v>
      </c>
      <c r="L47">
        <v>0</v>
      </c>
      <c r="M47">
        <v>1</v>
      </c>
      <c r="N47">
        <v>0</v>
      </c>
      <c r="O47">
        <v>4</v>
      </c>
      <c r="P47" t="s">
        <v>29</v>
      </c>
      <c r="Q47" t="s">
        <v>27</v>
      </c>
      <c r="R47" t="s">
        <v>363</v>
      </c>
      <c r="S47" t="s">
        <v>32</v>
      </c>
      <c r="T47" t="s">
        <v>364</v>
      </c>
      <c r="U47" t="s">
        <v>32</v>
      </c>
    </row>
    <row r="48" spans="1:21" x14ac:dyDescent="0.3">
      <c r="A48">
        <v>2026</v>
      </c>
      <c r="B48">
        <v>44</v>
      </c>
      <c r="C48" t="s">
        <v>160</v>
      </c>
      <c r="D48" t="s">
        <v>365</v>
      </c>
      <c r="E48" t="s">
        <v>34</v>
      </c>
      <c r="F48" t="s">
        <v>35</v>
      </c>
      <c r="G48" t="s">
        <v>34</v>
      </c>
      <c r="H48">
        <v>10.3</v>
      </c>
      <c r="I48" t="s">
        <v>27</v>
      </c>
      <c r="J48">
        <v>0</v>
      </c>
      <c r="K48">
        <v>3</v>
      </c>
      <c r="L48">
        <v>0</v>
      </c>
      <c r="M48">
        <v>1</v>
      </c>
      <c r="N48">
        <v>0</v>
      </c>
      <c r="O48">
        <v>4</v>
      </c>
      <c r="P48" t="s">
        <v>29</v>
      </c>
      <c r="Q48" t="s">
        <v>27</v>
      </c>
      <c r="R48" t="s">
        <v>366</v>
      </c>
      <c r="S48" t="s">
        <v>32</v>
      </c>
      <c r="T48" t="s">
        <v>367</v>
      </c>
      <c r="U48" t="s">
        <v>32</v>
      </c>
    </row>
    <row r="49" spans="1:21" x14ac:dyDescent="0.3">
      <c r="A49">
        <v>2026</v>
      </c>
      <c r="B49">
        <v>45</v>
      </c>
      <c r="C49" t="s">
        <v>160</v>
      </c>
      <c r="D49" t="s">
        <v>368</v>
      </c>
      <c r="E49" t="s">
        <v>34</v>
      </c>
      <c r="F49" t="s">
        <v>35</v>
      </c>
      <c r="G49" t="s">
        <v>34</v>
      </c>
      <c r="H49">
        <v>10.3</v>
      </c>
      <c r="I49" t="s">
        <v>27</v>
      </c>
      <c r="J49">
        <v>0</v>
      </c>
      <c r="K49">
        <v>3</v>
      </c>
      <c r="L49">
        <v>0</v>
      </c>
      <c r="M49">
        <v>1</v>
      </c>
      <c r="N49">
        <v>0</v>
      </c>
      <c r="O49">
        <v>4</v>
      </c>
      <c r="P49" t="s">
        <v>29</v>
      </c>
      <c r="Q49" t="s">
        <v>27</v>
      </c>
      <c r="R49" t="s">
        <v>369</v>
      </c>
      <c r="S49" t="s">
        <v>32</v>
      </c>
      <c r="T49" t="s">
        <v>369</v>
      </c>
      <c r="U49" t="s">
        <v>32</v>
      </c>
    </row>
    <row r="50" spans="1:21" x14ac:dyDescent="0.3">
      <c r="A50">
        <v>2026</v>
      </c>
      <c r="B50">
        <v>46</v>
      </c>
      <c r="C50" t="s">
        <v>160</v>
      </c>
      <c r="D50" t="s">
        <v>370</v>
      </c>
      <c r="E50" t="s">
        <v>34</v>
      </c>
      <c r="F50" t="s">
        <v>35</v>
      </c>
      <c r="G50" t="s">
        <v>34</v>
      </c>
      <c r="H50">
        <v>10.3</v>
      </c>
      <c r="I50" t="s">
        <v>27</v>
      </c>
      <c r="J50">
        <v>0</v>
      </c>
      <c r="K50">
        <v>3</v>
      </c>
      <c r="L50">
        <v>0</v>
      </c>
      <c r="M50">
        <v>1</v>
      </c>
      <c r="N50">
        <v>0</v>
      </c>
      <c r="O50">
        <v>4</v>
      </c>
      <c r="P50" t="s">
        <v>29</v>
      </c>
      <c r="Q50" t="s">
        <v>27</v>
      </c>
      <c r="R50" t="s">
        <v>371</v>
      </c>
      <c r="S50" t="s">
        <v>32</v>
      </c>
      <c r="T50" t="s">
        <v>372</v>
      </c>
      <c r="U50" t="s">
        <v>32</v>
      </c>
    </row>
    <row r="51" spans="1:21" x14ac:dyDescent="0.3">
      <c r="A51">
        <v>2026</v>
      </c>
      <c r="B51">
        <v>47</v>
      </c>
      <c r="C51" t="s">
        <v>160</v>
      </c>
      <c r="D51" t="s">
        <v>373</v>
      </c>
      <c r="E51" t="s">
        <v>34</v>
      </c>
      <c r="F51" t="s">
        <v>47</v>
      </c>
      <c r="G51" t="s">
        <v>34</v>
      </c>
      <c r="H51">
        <v>10.3</v>
      </c>
      <c r="I51" t="s">
        <v>27</v>
      </c>
      <c r="J51">
        <v>0</v>
      </c>
      <c r="K51">
        <v>1</v>
      </c>
      <c r="L51">
        <v>0</v>
      </c>
      <c r="M51">
        <v>1</v>
      </c>
      <c r="N51">
        <v>0</v>
      </c>
      <c r="O51">
        <v>2</v>
      </c>
      <c r="P51" t="s">
        <v>29</v>
      </c>
      <c r="Q51" t="s">
        <v>27</v>
      </c>
      <c r="R51" t="s">
        <v>374</v>
      </c>
      <c r="S51" t="s">
        <v>32</v>
      </c>
      <c r="T51" t="s">
        <v>375</v>
      </c>
      <c r="U51" t="s">
        <v>32</v>
      </c>
    </row>
    <row r="52" spans="1:21" x14ac:dyDescent="0.3">
      <c r="A52">
        <v>2026</v>
      </c>
      <c r="B52">
        <v>48</v>
      </c>
      <c r="C52" t="s">
        <v>160</v>
      </c>
      <c r="D52" t="s">
        <v>376</v>
      </c>
      <c r="E52" t="s">
        <v>34</v>
      </c>
      <c r="F52" t="s">
        <v>446</v>
      </c>
      <c r="G52" t="s">
        <v>34</v>
      </c>
      <c r="H52">
        <v>10.3</v>
      </c>
      <c r="I52" t="s">
        <v>27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 t="s">
        <v>29</v>
      </c>
      <c r="Q52" t="s">
        <v>470</v>
      </c>
      <c r="R52" t="s">
        <v>377</v>
      </c>
      <c r="S52" t="s">
        <v>32</v>
      </c>
      <c r="T52" t="s">
        <v>378</v>
      </c>
      <c r="U52" t="s">
        <v>32</v>
      </c>
    </row>
    <row r="53" spans="1:21" x14ac:dyDescent="0.3">
      <c r="A53">
        <v>2026</v>
      </c>
      <c r="B53">
        <v>49</v>
      </c>
      <c r="C53" t="s">
        <v>160</v>
      </c>
      <c r="D53" t="s">
        <v>379</v>
      </c>
      <c r="E53" t="s">
        <v>34</v>
      </c>
      <c r="F53" t="s">
        <v>249</v>
      </c>
      <c r="G53" t="s">
        <v>34</v>
      </c>
      <c r="H53">
        <v>10.3</v>
      </c>
      <c r="I53" t="s">
        <v>27</v>
      </c>
      <c r="J53">
        <v>0</v>
      </c>
      <c r="K53">
        <v>1</v>
      </c>
      <c r="L53">
        <v>0</v>
      </c>
      <c r="M53">
        <v>1</v>
      </c>
      <c r="N53">
        <v>0</v>
      </c>
      <c r="O53">
        <v>2</v>
      </c>
      <c r="P53" t="s">
        <v>29</v>
      </c>
      <c r="Q53" t="s">
        <v>27</v>
      </c>
      <c r="R53" t="s">
        <v>380</v>
      </c>
      <c r="S53" t="s">
        <v>32</v>
      </c>
      <c r="T53" t="s">
        <v>381</v>
      </c>
      <c r="U53" t="s">
        <v>32</v>
      </c>
    </row>
    <row r="54" spans="1:21" x14ac:dyDescent="0.3">
      <c r="A54">
        <v>2026</v>
      </c>
      <c r="B54">
        <v>50</v>
      </c>
      <c r="C54" t="s">
        <v>160</v>
      </c>
      <c r="D54" t="s">
        <v>382</v>
      </c>
      <c r="E54" t="s">
        <v>34</v>
      </c>
      <c r="F54" t="s">
        <v>446</v>
      </c>
      <c r="G54" t="s">
        <v>34</v>
      </c>
      <c r="H54">
        <v>10.3</v>
      </c>
      <c r="I54" t="s">
        <v>27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 t="s">
        <v>29</v>
      </c>
      <c r="Q54" t="s">
        <v>470</v>
      </c>
      <c r="R54" t="s">
        <v>383</v>
      </c>
      <c r="S54" t="s">
        <v>32</v>
      </c>
      <c r="T54" t="s">
        <v>384</v>
      </c>
      <c r="U54" t="s">
        <v>32</v>
      </c>
    </row>
    <row r="55" spans="1:21" x14ac:dyDescent="0.3">
      <c r="A55">
        <v>2026</v>
      </c>
      <c r="B55">
        <v>51</v>
      </c>
      <c r="C55" t="s">
        <v>160</v>
      </c>
      <c r="D55" t="s">
        <v>385</v>
      </c>
      <c r="E55" t="s">
        <v>34</v>
      </c>
      <c r="F55" t="s">
        <v>35</v>
      </c>
      <c r="G55" t="s">
        <v>34</v>
      </c>
      <c r="H55">
        <v>10.3</v>
      </c>
      <c r="I55" t="s">
        <v>27</v>
      </c>
      <c r="J55">
        <v>0</v>
      </c>
      <c r="K55">
        <v>3</v>
      </c>
      <c r="L55">
        <v>0</v>
      </c>
      <c r="M55">
        <v>1</v>
      </c>
      <c r="N55">
        <v>0</v>
      </c>
      <c r="O55">
        <v>4</v>
      </c>
      <c r="P55" t="s">
        <v>29</v>
      </c>
      <c r="Q55" t="s">
        <v>27</v>
      </c>
      <c r="R55" t="s">
        <v>386</v>
      </c>
      <c r="S55" t="s">
        <v>32</v>
      </c>
      <c r="T55" t="s">
        <v>387</v>
      </c>
      <c r="U55" t="s">
        <v>32</v>
      </c>
    </row>
    <row r="56" spans="1:21" x14ac:dyDescent="0.3">
      <c r="A56">
        <v>2026</v>
      </c>
      <c r="B56">
        <v>52</v>
      </c>
      <c r="C56" t="s">
        <v>160</v>
      </c>
      <c r="D56" t="s">
        <v>388</v>
      </c>
      <c r="E56" t="s">
        <v>34</v>
      </c>
      <c r="F56" t="s">
        <v>35</v>
      </c>
      <c r="G56" t="s">
        <v>34</v>
      </c>
      <c r="H56">
        <v>10.3</v>
      </c>
      <c r="I56" t="s">
        <v>27</v>
      </c>
      <c r="J56">
        <v>0</v>
      </c>
      <c r="K56">
        <v>3</v>
      </c>
      <c r="L56">
        <v>0</v>
      </c>
      <c r="M56">
        <v>1</v>
      </c>
      <c r="N56">
        <v>0</v>
      </c>
      <c r="O56">
        <v>4</v>
      </c>
      <c r="P56" t="s">
        <v>29</v>
      </c>
      <c r="Q56" t="s">
        <v>27</v>
      </c>
      <c r="R56" t="s">
        <v>386</v>
      </c>
      <c r="S56" t="s">
        <v>32</v>
      </c>
      <c r="T56" t="s">
        <v>389</v>
      </c>
      <c r="U56" t="s">
        <v>32</v>
      </c>
    </row>
    <row r="57" spans="1:21" x14ac:dyDescent="0.3">
      <c r="A57">
        <v>2026</v>
      </c>
      <c r="B57">
        <v>53</v>
      </c>
      <c r="C57" t="s">
        <v>160</v>
      </c>
      <c r="D57" t="s">
        <v>390</v>
      </c>
      <c r="E57" t="s">
        <v>34</v>
      </c>
      <c r="F57" t="s">
        <v>35</v>
      </c>
      <c r="G57" t="s">
        <v>34</v>
      </c>
      <c r="H57">
        <v>10.3</v>
      </c>
      <c r="I57" t="s">
        <v>27</v>
      </c>
      <c r="J57">
        <v>0</v>
      </c>
      <c r="K57">
        <v>3</v>
      </c>
      <c r="L57">
        <v>0</v>
      </c>
      <c r="M57">
        <v>1</v>
      </c>
      <c r="N57">
        <v>0</v>
      </c>
      <c r="O57">
        <v>4</v>
      </c>
      <c r="P57" t="s">
        <v>29</v>
      </c>
      <c r="Q57" t="s">
        <v>27</v>
      </c>
      <c r="R57" t="s">
        <v>210</v>
      </c>
      <c r="S57" t="s">
        <v>32</v>
      </c>
      <c r="T57" t="s">
        <v>391</v>
      </c>
      <c r="U57" t="s">
        <v>32</v>
      </c>
    </row>
    <row r="58" spans="1:21" x14ac:dyDescent="0.3">
      <c r="A58">
        <v>2026</v>
      </c>
      <c r="B58">
        <v>54</v>
      </c>
      <c r="C58" t="s">
        <v>160</v>
      </c>
      <c r="D58" t="s">
        <v>392</v>
      </c>
      <c r="E58" t="s">
        <v>34</v>
      </c>
      <c r="F58" t="s">
        <v>446</v>
      </c>
      <c r="G58" t="s">
        <v>34</v>
      </c>
      <c r="H58">
        <v>10.3</v>
      </c>
      <c r="I58" t="s">
        <v>27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 t="s">
        <v>29</v>
      </c>
      <c r="Q58" t="s">
        <v>470</v>
      </c>
      <c r="R58" t="s">
        <v>393</v>
      </c>
      <c r="S58" t="s">
        <v>32</v>
      </c>
      <c r="T58" t="s">
        <v>394</v>
      </c>
      <c r="U58" t="s">
        <v>32</v>
      </c>
    </row>
    <row r="59" spans="1:21" x14ac:dyDescent="0.3">
      <c r="A59">
        <v>2026</v>
      </c>
      <c r="B59">
        <v>55</v>
      </c>
      <c r="C59" t="s">
        <v>160</v>
      </c>
      <c r="D59" t="s">
        <v>395</v>
      </c>
      <c r="E59" t="s">
        <v>34</v>
      </c>
      <c r="F59" t="s">
        <v>35</v>
      </c>
      <c r="G59" t="s">
        <v>34</v>
      </c>
      <c r="H59">
        <v>10.3</v>
      </c>
      <c r="I59" t="s">
        <v>27</v>
      </c>
      <c r="J59">
        <v>0</v>
      </c>
      <c r="K59">
        <v>3</v>
      </c>
      <c r="L59">
        <v>0</v>
      </c>
      <c r="M59">
        <v>1</v>
      </c>
      <c r="N59">
        <v>0</v>
      </c>
      <c r="O59">
        <v>4</v>
      </c>
      <c r="P59" t="s">
        <v>29</v>
      </c>
      <c r="Q59" t="s">
        <v>27</v>
      </c>
      <c r="R59" t="s">
        <v>396</v>
      </c>
      <c r="S59" t="s">
        <v>32</v>
      </c>
      <c r="T59" t="s">
        <v>397</v>
      </c>
      <c r="U59" t="s">
        <v>32</v>
      </c>
    </row>
    <row r="60" spans="1:21" x14ac:dyDescent="0.3">
      <c r="A60">
        <v>2026</v>
      </c>
      <c r="B60">
        <v>56</v>
      </c>
      <c r="C60" t="s">
        <v>160</v>
      </c>
      <c r="D60" t="s">
        <v>398</v>
      </c>
      <c r="E60" t="s">
        <v>34</v>
      </c>
      <c r="F60" t="s">
        <v>35</v>
      </c>
      <c r="G60" t="s">
        <v>34</v>
      </c>
      <c r="H60">
        <v>10.3</v>
      </c>
      <c r="I60" t="s">
        <v>27</v>
      </c>
      <c r="J60">
        <v>0</v>
      </c>
      <c r="K60">
        <v>3</v>
      </c>
      <c r="L60">
        <v>0</v>
      </c>
      <c r="M60">
        <v>1</v>
      </c>
      <c r="N60">
        <v>0</v>
      </c>
      <c r="O60">
        <v>4</v>
      </c>
      <c r="P60" t="s">
        <v>29</v>
      </c>
      <c r="Q60" t="s">
        <v>27</v>
      </c>
      <c r="R60" t="s">
        <v>399</v>
      </c>
      <c r="S60" t="s">
        <v>32</v>
      </c>
      <c r="T60" t="s">
        <v>400</v>
      </c>
      <c r="U60" t="s">
        <v>32</v>
      </c>
    </row>
    <row r="61" spans="1:21" x14ac:dyDescent="0.3">
      <c r="A61">
        <v>2026</v>
      </c>
      <c r="B61">
        <v>57</v>
      </c>
      <c r="C61" t="s">
        <v>160</v>
      </c>
      <c r="D61" t="s">
        <v>401</v>
      </c>
      <c r="E61" t="s">
        <v>34</v>
      </c>
      <c r="F61" t="s">
        <v>35</v>
      </c>
      <c r="G61" t="s">
        <v>34</v>
      </c>
      <c r="H61">
        <v>10.3</v>
      </c>
      <c r="I61" t="s">
        <v>27</v>
      </c>
      <c r="J61">
        <v>0</v>
      </c>
      <c r="K61">
        <v>3</v>
      </c>
      <c r="L61">
        <v>0</v>
      </c>
      <c r="M61">
        <v>1</v>
      </c>
      <c r="N61">
        <v>0</v>
      </c>
      <c r="O61">
        <v>4</v>
      </c>
      <c r="P61" t="s">
        <v>29</v>
      </c>
      <c r="Q61" t="s">
        <v>27</v>
      </c>
      <c r="R61" t="s">
        <v>402</v>
      </c>
      <c r="S61" t="s">
        <v>32</v>
      </c>
      <c r="T61" t="s">
        <v>403</v>
      </c>
      <c r="U61" t="s">
        <v>32</v>
      </c>
    </row>
    <row r="62" spans="1:21" x14ac:dyDescent="0.3">
      <c r="A62">
        <v>2026</v>
      </c>
      <c r="B62">
        <v>58</v>
      </c>
      <c r="C62" t="s">
        <v>160</v>
      </c>
      <c r="D62" t="s">
        <v>404</v>
      </c>
      <c r="E62" t="s">
        <v>34</v>
      </c>
      <c r="F62" t="s">
        <v>35</v>
      </c>
      <c r="G62" t="s">
        <v>34</v>
      </c>
      <c r="H62">
        <v>10.3</v>
      </c>
      <c r="I62" t="s">
        <v>27</v>
      </c>
      <c r="J62">
        <v>0</v>
      </c>
      <c r="K62">
        <v>3</v>
      </c>
      <c r="L62">
        <v>0</v>
      </c>
      <c r="M62">
        <v>1</v>
      </c>
      <c r="N62">
        <v>0</v>
      </c>
      <c r="O62">
        <v>4</v>
      </c>
      <c r="P62" t="s">
        <v>29</v>
      </c>
      <c r="Q62" t="s">
        <v>27</v>
      </c>
      <c r="R62" t="s">
        <v>405</v>
      </c>
      <c r="S62" t="s">
        <v>32</v>
      </c>
      <c r="T62" t="s">
        <v>406</v>
      </c>
      <c r="U62" t="s">
        <v>32</v>
      </c>
    </row>
    <row r="63" spans="1:21" x14ac:dyDescent="0.3">
      <c r="A63">
        <v>2026</v>
      </c>
      <c r="B63">
        <v>59</v>
      </c>
      <c r="C63" t="s">
        <v>225</v>
      </c>
      <c r="D63" t="s">
        <v>407</v>
      </c>
      <c r="E63" t="s">
        <v>34</v>
      </c>
      <c r="F63" t="s">
        <v>47</v>
      </c>
      <c r="G63" t="s">
        <v>34</v>
      </c>
      <c r="H63">
        <v>10.3</v>
      </c>
      <c r="I63" t="s">
        <v>27</v>
      </c>
      <c r="J63">
        <v>0</v>
      </c>
      <c r="K63">
        <v>1</v>
      </c>
      <c r="L63">
        <v>0</v>
      </c>
      <c r="M63">
        <v>1</v>
      </c>
      <c r="N63">
        <v>0</v>
      </c>
      <c r="O63">
        <v>2</v>
      </c>
      <c r="P63" t="s">
        <v>29</v>
      </c>
      <c r="Q63" t="s">
        <v>27</v>
      </c>
      <c r="R63" t="s">
        <v>408</v>
      </c>
      <c r="S63" t="s">
        <v>32</v>
      </c>
      <c r="T63" t="s">
        <v>409</v>
      </c>
      <c r="U63" t="s">
        <v>32</v>
      </c>
    </row>
    <row r="64" spans="1:21" x14ac:dyDescent="0.3">
      <c r="A64">
        <v>2026</v>
      </c>
      <c r="B64">
        <v>60</v>
      </c>
      <c r="C64" t="s">
        <v>225</v>
      </c>
      <c r="D64" t="s">
        <v>410</v>
      </c>
      <c r="E64" t="s">
        <v>34</v>
      </c>
      <c r="F64" t="s">
        <v>35</v>
      </c>
      <c r="G64" t="s">
        <v>34</v>
      </c>
      <c r="H64">
        <v>10.3</v>
      </c>
      <c r="I64" t="s">
        <v>27</v>
      </c>
      <c r="J64">
        <v>0</v>
      </c>
      <c r="K64">
        <v>3</v>
      </c>
      <c r="L64">
        <v>0</v>
      </c>
      <c r="M64">
        <v>1</v>
      </c>
      <c r="N64">
        <v>0</v>
      </c>
      <c r="O64">
        <v>4</v>
      </c>
      <c r="P64" t="s">
        <v>29</v>
      </c>
      <c r="Q64" t="s">
        <v>27</v>
      </c>
      <c r="R64" t="s">
        <v>411</v>
      </c>
      <c r="S64" t="s">
        <v>32</v>
      </c>
      <c r="T64" t="s">
        <v>412</v>
      </c>
      <c r="U64" t="s">
        <v>32</v>
      </c>
    </row>
    <row r="65" spans="1:21" x14ac:dyDescent="0.3">
      <c r="A65">
        <v>2026</v>
      </c>
      <c r="B65">
        <v>61</v>
      </c>
      <c r="C65" t="s">
        <v>225</v>
      </c>
      <c r="D65" t="s">
        <v>413</v>
      </c>
      <c r="E65" t="s">
        <v>34</v>
      </c>
      <c r="F65" t="s">
        <v>35</v>
      </c>
      <c r="G65" t="s">
        <v>34</v>
      </c>
      <c r="H65">
        <v>10.3</v>
      </c>
      <c r="I65" t="s">
        <v>27</v>
      </c>
      <c r="J65">
        <v>0</v>
      </c>
      <c r="K65">
        <v>3</v>
      </c>
      <c r="L65">
        <v>0</v>
      </c>
      <c r="M65">
        <v>1</v>
      </c>
      <c r="N65">
        <v>0</v>
      </c>
      <c r="O65">
        <v>4</v>
      </c>
      <c r="P65" t="s">
        <v>29</v>
      </c>
      <c r="Q65" t="s">
        <v>27</v>
      </c>
      <c r="R65" t="s">
        <v>233</v>
      </c>
      <c r="S65" t="s">
        <v>32</v>
      </c>
      <c r="T65" t="s">
        <v>233</v>
      </c>
      <c r="U65" t="s">
        <v>32</v>
      </c>
    </row>
    <row r="66" spans="1:21" x14ac:dyDescent="0.3">
      <c r="A66">
        <v>2026</v>
      </c>
      <c r="B66">
        <v>62</v>
      </c>
      <c r="C66" t="s">
        <v>225</v>
      </c>
      <c r="D66" t="s">
        <v>414</v>
      </c>
      <c r="E66" t="s">
        <v>34</v>
      </c>
      <c r="F66" t="s">
        <v>47</v>
      </c>
      <c r="G66" t="s">
        <v>34</v>
      </c>
      <c r="H66">
        <v>10.3</v>
      </c>
      <c r="I66" t="s">
        <v>27</v>
      </c>
      <c r="J66">
        <v>0</v>
      </c>
      <c r="K66">
        <v>1</v>
      </c>
      <c r="L66">
        <v>0</v>
      </c>
      <c r="M66">
        <v>1</v>
      </c>
      <c r="N66">
        <v>0</v>
      </c>
      <c r="O66">
        <v>2</v>
      </c>
      <c r="P66" t="s">
        <v>29</v>
      </c>
      <c r="Q66" t="s">
        <v>27</v>
      </c>
      <c r="R66" t="s">
        <v>415</v>
      </c>
      <c r="S66" t="s">
        <v>32</v>
      </c>
      <c r="T66" t="s">
        <v>416</v>
      </c>
      <c r="U66" t="s">
        <v>32</v>
      </c>
    </row>
    <row r="67" spans="1:21" x14ac:dyDescent="0.3">
      <c r="A67">
        <v>2026</v>
      </c>
      <c r="B67">
        <v>63</v>
      </c>
      <c r="C67" t="s">
        <v>225</v>
      </c>
      <c r="D67" t="s">
        <v>417</v>
      </c>
      <c r="E67" t="s">
        <v>34</v>
      </c>
      <c r="F67" t="s">
        <v>446</v>
      </c>
      <c r="G67" t="s">
        <v>34</v>
      </c>
      <c r="H67">
        <v>10.3</v>
      </c>
      <c r="I67" t="s">
        <v>27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 t="s">
        <v>29</v>
      </c>
      <c r="Q67" t="s">
        <v>467</v>
      </c>
      <c r="R67" t="s">
        <v>418</v>
      </c>
      <c r="S67" t="s">
        <v>32</v>
      </c>
      <c r="T67" t="s">
        <v>419</v>
      </c>
      <c r="U67" t="s">
        <v>32</v>
      </c>
    </row>
    <row r="68" spans="1:21" x14ac:dyDescent="0.3">
      <c r="A68">
        <v>2026</v>
      </c>
      <c r="B68">
        <v>64</v>
      </c>
      <c r="C68" t="s">
        <v>225</v>
      </c>
      <c r="D68" t="s">
        <v>420</v>
      </c>
      <c r="E68" t="s">
        <v>34</v>
      </c>
      <c r="F68" t="s">
        <v>35</v>
      </c>
      <c r="G68" t="s">
        <v>34</v>
      </c>
      <c r="H68">
        <v>10.3</v>
      </c>
      <c r="I68" t="s">
        <v>27</v>
      </c>
      <c r="J68">
        <v>0</v>
      </c>
      <c r="K68">
        <v>3</v>
      </c>
      <c r="L68">
        <v>0</v>
      </c>
      <c r="M68">
        <v>1</v>
      </c>
      <c r="N68">
        <v>0</v>
      </c>
      <c r="O68">
        <v>4</v>
      </c>
      <c r="P68" t="s">
        <v>29</v>
      </c>
      <c r="Q68" t="s">
        <v>27</v>
      </c>
      <c r="R68" t="s">
        <v>421</v>
      </c>
      <c r="S68" t="s">
        <v>32</v>
      </c>
      <c r="T68" t="s">
        <v>422</v>
      </c>
      <c r="U68" t="s">
        <v>32</v>
      </c>
    </row>
    <row r="69" spans="1:21" x14ac:dyDescent="0.3">
      <c r="A69">
        <v>2026</v>
      </c>
      <c r="B69">
        <v>65</v>
      </c>
      <c r="C69" t="s">
        <v>225</v>
      </c>
      <c r="D69" t="s">
        <v>423</v>
      </c>
      <c r="E69" t="s">
        <v>34</v>
      </c>
      <c r="F69" t="s">
        <v>35</v>
      </c>
      <c r="G69" t="s">
        <v>34</v>
      </c>
      <c r="H69">
        <v>10.3</v>
      </c>
      <c r="I69" t="s">
        <v>27</v>
      </c>
      <c r="J69">
        <v>0</v>
      </c>
      <c r="K69">
        <v>3</v>
      </c>
      <c r="L69">
        <v>0</v>
      </c>
      <c r="M69">
        <v>1</v>
      </c>
      <c r="N69">
        <v>0</v>
      </c>
      <c r="O69">
        <v>4</v>
      </c>
      <c r="P69" t="s">
        <v>29</v>
      </c>
      <c r="Q69" t="s">
        <v>27</v>
      </c>
      <c r="R69" t="s">
        <v>424</v>
      </c>
      <c r="S69" t="s">
        <v>32</v>
      </c>
      <c r="T69" t="s">
        <v>425</v>
      </c>
      <c r="U69" t="s">
        <v>32</v>
      </c>
    </row>
    <row r="70" spans="1:21" x14ac:dyDescent="0.3">
      <c r="A70">
        <v>2026</v>
      </c>
      <c r="B70">
        <v>66</v>
      </c>
      <c r="C70" t="s">
        <v>225</v>
      </c>
      <c r="D70" t="s">
        <v>426</v>
      </c>
      <c r="E70" t="s">
        <v>34</v>
      </c>
      <c r="F70" t="s">
        <v>35</v>
      </c>
      <c r="G70" t="s">
        <v>34</v>
      </c>
      <c r="H70">
        <v>10.3</v>
      </c>
      <c r="I70" t="s">
        <v>27</v>
      </c>
      <c r="J70">
        <v>0</v>
      </c>
      <c r="K70">
        <v>3</v>
      </c>
      <c r="L70">
        <v>0</v>
      </c>
      <c r="M70">
        <v>1</v>
      </c>
      <c r="N70">
        <v>0</v>
      </c>
      <c r="O70">
        <v>4</v>
      </c>
      <c r="P70" t="s">
        <v>29</v>
      </c>
      <c r="Q70" t="s">
        <v>27</v>
      </c>
      <c r="R70" t="s">
        <v>427</v>
      </c>
      <c r="S70" t="s">
        <v>32</v>
      </c>
      <c r="T70" t="s">
        <v>428</v>
      </c>
      <c r="U70" t="s">
        <v>32</v>
      </c>
    </row>
    <row r="71" spans="1:21" x14ac:dyDescent="0.3">
      <c r="A71">
        <v>2026</v>
      </c>
      <c r="B71">
        <v>67</v>
      </c>
      <c r="C71" t="s">
        <v>225</v>
      </c>
      <c r="D71" t="s">
        <v>429</v>
      </c>
      <c r="E71" t="s">
        <v>34</v>
      </c>
      <c r="F71" t="s">
        <v>35</v>
      </c>
      <c r="G71" t="s">
        <v>34</v>
      </c>
      <c r="H71">
        <v>10.3</v>
      </c>
      <c r="I71" t="s">
        <v>27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t="s">
        <v>29</v>
      </c>
      <c r="Q71" t="s">
        <v>470</v>
      </c>
      <c r="R71" t="s">
        <v>427</v>
      </c>
      <c r="S71" t="s">
        <v>32</v>
      </c>
      <c r="T71" t="s">
        <v>430</v>
      </c>
      <c r="U71" t="s">
        <v>32</v>
      </c>
    </row>
    <row r="72" spans="1:21" x14ac:dyDescent="0.3">
      <c r="A72">
        <v>2026</v>
      </c>
      <c r="B72">
        <v>68</v>
      </c>
      <c r="C72" t="s">
        <v>225</v>
      </c>
      <c r="D72" t="s">
        <v>431</v>
      </c>
      <c r="E72" t="s">
        <v>34</v>
      </c>
      <c r="F72" t="s">
        <v>35</v>
      </c>
      <c r="G72" t="s">
        <v>34</v>
      </c>
      <c r="H72">
        <v>10.3</v>
      </c>
      <c r="I72" t="s">
        <v>27</v>
      </c>
      <c r="J72">
        <v>0</v>
      </c>
      <c r="K72">
        <v>3</v>
      </c>
      <c r="L72">
        <v>0</v>
      </c>
      <c r="M72">
        <v>1</v>
      </c>
      <c r="N72">
        <v>0</v>
      </c>
      <c r="O72">
        <v>4</v>
      </c>
      <c r="P72" t="s">
        <v>29</v>
      </c>
      <c r="Q72" t="s">
        <v>27</v>
      </c>
      <c r="R72" t="s">
        <v>432</v>
      </c>
      <c r="S72" t="s">
        <v>32</v>
      </c>
      <c r="T72" t="s">
        <v>433</v>
      </c>
      <c r="U72" t="s">
        <v>32</v>
      </c>
    </row>
    <row r="73" spans="1:21" x14ac:dyDescent="0.3">
      <c r="A73">
        <v>2026</v>
      </c>
      <c r="B73">
        <v>69</v>
      </c>
      <c r="C73" t="s">
        <v>225</v>
      </c>
      <c r="D73" t="s">
        <v>434</v>
      </c>
      <c r="E73" t="s">
        <v>34</v>
      </c>
      <c r="F73" t="s">
        <v>35</v>
      </c>
      <c r="G73" t="s">
        <v>34</v>
      </c>
      <c r="H73">
        <v>10.3</v>
      </c>
      <c r="I73" t="s">
        <v>27</v>
      </c>
      <c r="J73">
        <v>0</v>
      </c>
      <c r="K73">
        <v>3</v>
      </c>
      <c r="L73">
        <v>0</v>
      </c>
      <c r="M73">
        <v>1</v>
      </c>
      <c r="N73">
        <v>0</v>
      </c>
      <c r="O73">
        <v>4</v>
      </c>
      <c r="P73" t="s">
        <v>29</v>
      </c>
      <c r="Q73" t="s">
        <v>27</v>
      </c>
      <c r="R73" t="s">
        <v>435</v>
      </c>
      <c r="S73" t="s">
        <v>32</v>
      </c>
      <c r="T73" t="s">
        <v>436</v>
      </c>
      <c r="U73" t="s">
        <v>32</v>
      </c>
    </row>
    <row r="74" spans="1:21" x14ac:dyDescent="0.3">
      <c r="A74">
        <v>2026</v>
      </c>
      <c r="B74">
        <v>70</v>
      </c>
      <c r="C74" t="s">
        <v>225</v>
      </c>
      <c r="D74" t="s">
        <v>437</v>
      </c>
      <c r="E74" t="s">
        <v>34</v>
      </c>
      <c r="F74" t="s">
        <v>446</v>
      </c>
      <c r="G74" t="s">
        <v>34</v>
      </c>
      <c r="H74">
        <v>10.3</v>
      </c>
      <c r="I74" t="s">
        <v>27</v>
      </c>
      <c r="J74">
        <v>0</v>
      </c>
      <c r="K74">
        <v>3</v>
      </c>
      <c r="L74">
        <v>0</v>
      </c>
      <c r="M74">
        <v>1</v>
      </c>
      <c r="N74">
        <v>0</v>
      </c>
      <c r="O74">
        <v>4</v>
      </c>
      <c r="P74" t="s">
        <v>29</v>
      </c>
      <c r="Q74" t="s">
        <v>27</v>
      </c>
      <c r="R74" t="s">
        <v>438</v>
      </c>
      <c r="S74" t="s">
        <v>32</v>
      </c>
      <c r="T74" t="s">
        <v>439</v>
      </c>
      <c r="U74" t="s">
        <v>32</v>
      </c>
    </row>
    <row r="75" spans="1:21" x14ac:dyDescent="0.3">
      <c r="A75">
        <v>2026</v>
      </c>
      <c r="B75">
        <v>71</v>
      </c>
      <c r="C75" t="s">
        <v>225</v>
      </c>
      <c r="D75" t="s">
        <v>440</v>
      </c>
      <c r="E75" t="s">
        <v>34</v>
      </c>
      <c r="F75" t="s">
        <v>35</v>
      </c>
      <c r="G75" t="s">
        <v>34</v>
      </c>
      <c r="H75">
        <v>10.3</v>
      </c>
      <c r="I75" t="s">
        <v>27</v>
      </c>
      <c r="J75">
        <v>0</v>
      </c>
      <c r="K75">
        <v>3</v>
      </c>
      <c r="L75">
        <v>0</v>
      </c>
      <c r="M75">
        <v>1</v>
      </c>
      <c r="N75">
        <v>0</v>
      </c>
      <c r="O75">
        <v>4</v>
      </c>
      <c r="P75" t="s">
        <v>29</v>
      </c>
      <c r="Q75" t="s">
        <v>27</v>
      </c>
      <c r="R75" t="s">
        <v>441</v>
      </c>
      <c r="S75" t="s">
        <v>32</v>
      </c>
      <c r="T75" t="s">
        <v>441</v>
      </c>
      <c r="U75" t="s">
        <v>32</v>
      </c>
    </row>
    <row r="76" spans="1:21" x14ac:dyDescent="0.3">
      <c r="A76">
        <v>2026</v>
      </c>
      <c r="B76">
        <v>72</v>
      </c>
      <c r="C76" t="s">
        <v>225</v>
      </c>
      <c r="D76" t="s">
        <v>442</v>
      </c>
      <c r="E76" t="s">
        <v>34</v>
      </c>
      <c r="F76" t="s">
        <v>47</v>
      </c>
      <c r="G76" t="s">
        <v>34</v>
      </c>
      <c r="H76">
        <v>10.3</v>
      </c>
      <c r="I76" t="s">
        <v>27</v>
      </c>
      <c r="J76">
        <v>0</v>
      </c>
      <c r="K76">
        <v>1</v>
      </c>
      <c r="L76">
        <v>0</v>
      </c>
      <c r="M76">
        <v>1</v>
      </c>
      <c r="N76">
        <v>0</v>
      </c>
      <c r="O76">
        <v>2</v>
      </c>
      <c r="P76" t="s">
        <v>29</v>
      </c>
      <c r="Q76" t="s">
        <v>27</v>
      </c>
      <c r="R76" t="s">
        <v>443</v>
      </c>
      <c r="S76" t="s">
        <v>32</v>
      </c>
      <c r="T76" t="s">
        <v>444</v>
      </c>
      <c r="U76" t="s">
        <v>32</v>
      </c>
    </row>
    <row r="77" spans="1:21" x14ac:dyDescent="0.3">
      <c r="A77">
        <v>2025</v>
      </c>
      <c r="B77">
        <v>1</v>
      </c>
      <c r="C77" t="s">
        <v>24</v>
      </c>
      <c r="D77" t="s">
        <v>472</v>
      </c>
      <c r="E77" t="s">
        <v>34</v>
      </c>
      <c r="F77" t="s">
        <v>35</v>
      </c>
      <c r="G77" t="s">
        <v>28</v>
      </c>
      <c r="H77">
        <v>9.3000000000000007</v>
      </c>
      <c r="I77" t="s">
        <v>27</v>
      </c>
      <c r="J77">
        <v>0</v>
      </c>
      <c r="K77">
        <v>3</v>
      </c>
      <c r="L77">
        <v>0</v>
      </c>
      <c r="M77">
        <v>0</v>
      </c>
      <c r="N77">
        <v>0</v>
      </c>
      <c r="O77">
        <v>3</v>
      </c>
      <c r="P77" t="s">
        <v>29</v>
      </c>
      <c r="R77" t="s">
        <v>473</v>
      </c>
      <c r="S77" t="s">
        <v>32</v>
      </c>
      <c r="T77" t="s">
        <v>485</v>
      </c>
      <c r="U77" t="s">
        <v>32</v>
      </c>
    </row>
    <row r="78" spans="1:21" x14ac:dyDescent="0.3">
      <c r="A78">
        <v>2025</v>
      </c>
      <c r="B78">
        <v>2</v>
      </c>
      <c r="C78" t="s">
        <v>474</v>
      </c>
      <c r="D78" t="s">
        <v>475</v>
      </c>
      <c r="E78" t="s">
        <v>34</v>
      </c>
      <c r="F78" t="s">
        <v>35</v>
      </c>
      <c r="G78" t="s">
        <v>28</v>
      </c>
      <c r="H78">
        <v>9.3000000000000007</v>
      </c>
      <c r="I78" t="s">
        <v>27</v>
      </c>
      <c r="J78">
        <v>0</v>
      </c>
      <c r="K78">
        <v>3</v>
      </c>
      <c r="L78">
        <v>0</v>
      </c>
      <c r="M78">
        <v>0</v>
      </c>
      <c r="N78">
        <v>0</v>
      </c>
      <c r="O78">
        <v>3</v>
      </c>
      <c r="P78" t="s">
        <v>29</v>
      </c>
      <c r="R78" t="s">
        <v>476</v>
      </c>
      <c r="S78" t="s">
        <v>32</v>
      </c>
      <c r="T78" t="s">
        <v>486</v>
      </c>
      <c r="U78" t="s">
        <v>32</v>
      </c>
    </row>
    <row r="79" spans="1:21" x14ac:dyDescent="0.3">
      <c r="A79">
        <v>2025</v>
      </c>
      <c r="B79">
        <v>3</v>
      </c>
      <c r="C79" t="s">
        <v>24</v>
      </c>
      <c r="D79" t="s">
        <v>477</v>
      </c>
      <c r="E79" t="s">
        <v>34</v>
      </c>
      <c r="F79" t="s">
        <v>35</v>
      </c>
      <c r="G79" t="s">
        <v>28</v>
      </c>
      <c r="H79">
        <v>9.3000000000000007</v>
      </c>
      <c r="I79" t="s">
        <v>27</v>
      </c>
      <c r="J79">
        <v>0</v>
      </c>
      <c r="K79">
        <v>3</v>
      </c>
      <c r="L79">
        <v>0</v>
      </c>
      <c r="M79">
        <v>0</v>
      </c>
      <c r="N79">
        <v>0</v>
      </c>
      <c r="O79">
        <v>3</v>
      </c>
      <c r="P79" t="s">
        <v>29</v>
      </c>
      <c r="R79" t="s">
        <v>478</v>
      </c>
      <c r="S79" t="s">
        <v>32</v>
      </c>
      <c r="T79" t="s">
        <v>487</v>
      </c>
      <c r="U79" t="s">
        <v>32</v>
      </c>
    </row>
    <row r="80" spans="1:21" x14ac:dyDescent="0.3">
      <c r="A80">
        <v>2025</v>
      </c>
      <c r="B80">
        <v>4</v>
      </c>
      <c r="C80" t="s">
        <v>24</v>
      </c>
      <c r="D80" t="s">
        <v>25</v>
      </c>
      <c r="E80" t="s">
        <v>26</v>
      </c>
      <c r="F80" t="s">
        <v>27</v>
      </c>
      <c r="G80" t="s">
        <v>28</v>
      </c>
      <c r="H80">
        <v>9.3000000000000007</v>
      </c>
      <c r="I80" t="s">
        <v>27</v>
      </c>
      <c r="J80">
        <v>3</v>
      </c>
      <c r="K80">
        <v>0</v>
      </c>
      <c r="L80">
        <v>0</v>
      </c>
      <c r="M80">
        <v>0</v>
      </c>
      <c r="N80">
        <v>0</v>
      </c>
      <c r="O80">
        <v>3</v>
      </c>
      <c r="P80" t="s">
        <v>29</v>
      </c>
      <c r="Q80" t="s">
        <v>30</v>
      </c>
      <c r="R80" t="s">
        <v>31</v>
      </c>
      <c r="S80" t="s">
        <v>32</v>
      </c>
      <c r="T80" t="s">
        <v>488</v>
      </c>
      <c r="U80" t="s">
        <v>32</v>
      </c>
    </row>
    <row r="81" spans="1:21" x14ac:dyDescent="0.3">
      <c r="A81">
        <v>2025</v>
      </c>
      <c r="B81">
        <v>5</v>
      </c>
      <c r="C81" t="s">
        <v>24</v>
      </c>
      <c r="D81" t="s">
        <v>33</v>
      </c>
      <c r="E81" t="s">
        <v>34</v>
      </c>
      <c r="F81" t="s">
        <v>35</v>
      </c>
      <c r="G81" t="s">
        <v>28</v>
      </c>
      <c r="H81">
        <v>9.3000000000000007</v>
      </c>
      <c r="I81" t="s">
        <v>27</v>
      </c>
      <c r="J81">
        <v>0</v>
      </c>
      <c r="K81">
        <v>3</v>
      </c>
      <c r="L81">
        <v>0</v>
      </c>
      <c r="M81">
        <v>0</v>
      </c>
      <c r="N81">
        <v>0</v>
      </c>
      <c r="O81">
        <v>3</v>
      </c>
      <c r="P81" t="s">
        <v>29</v>
      </c>
      <c r="Q81" t="s">
        <v>36</v>
      </c>
      <c r="R81" t="s">
        <v>37</v>
      </c>
      <c r="S81" t="s">
        <v>32</v>
      </c>
      <c r="T81" t="s">
        <v>489</v>
      </c>
      <c r="U81" t="s">
        <v>32</v>
      </c>
    </row>
    <row r="82" spans="1:21" x14ac:dyDescent="0.3">
      <c r="A82">
        <v>2025</v>
      </c>
      <c r="B82">
        <v>6</v>
      </c>
      <c r="C82" t="s">
        <v>24</v>
      </c>
      <c r="D82" t="s">
        <v>38</v>
      </c>
      <c r="E82" t="s">
        <v>34</v>
      </c>
      <c r="F82" t="s">
        <v>35</v>
      </c>
      <c r="G82" t="s">
        <v>28</v>
      </c>
      <c r="H82">
        <v>9.3000000000000007</v>
      </c>
      <c r="I82" t="s">
        <v>27</v>
      </c>
      <c r="J82">
        <v>0</v>
      </c>
      <c r="K82">
        <v>3</v>
      </c>
      <c r="L82">
        <v>0</v>
      </c>
      <c r="M82">
        <v>0</v>
      </c>
      <c r="N82">
        <v>0</v>
      </c>
      <c r="O82">
        <v>3</v>
      </c>
      <c r="P82" t="s">
        <v>29</v>
      </c>
      <c r="R82" t="s">
        <v>39</v>
      </c>
      <c r="S82" t="s">
        <v>32</v>
      </c>
      <c r="T82" t="s">
        <v>490</v>
      </c>
      <c r="U82" t="s">
        <v>32</v>
      </c>
    </row>
    <row r="83" spans="1:21" x14ac:dyDescent="0.3">
      <c r="A83">
        <v>2025</v>
      </c>
      <c r="B83">
        <v>7</v>
      </c>
      <c r="C83" t="s">
        <v>24</v>
      </c>
      <c r="D83" t="s">
        <v>40</v>
      </c>
      <c r="E83" t="s">
        <v>34</v>
      </c>
      <c r="F83" t="s">
        <v>27</v>
      </c>
      <c r="G83" t="s">
        <v>28</v>
      </c>
      <c r="H83">
        <v>9.3000000000000007</v>
      </c>
      <c r="I83" t="s">
        <v>27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 t="s">
        <v>41</v>
      </c>
      <c r="R83" t="s">
        <v>42</v>
      </c>
      <c r="S83" t="s">
        <v>32</v>
      </c>
      <c r="T83" t="s">
        <v>491</v>
      </c>
      <c r="U83" t="s">
        <v>32</v>
      </c>
    </row>
    <row r="84" spans="1:21" x14ac:dyDescent="0.3">
      <c r="A84">
        <v>2025</v>
      </c>
      <c r="B84">
        <v>8</v>
      </c>
      <c r="C84" t="s">
        <v>24</v>
      </c>
      <c r="D84" t="s">
        <v>43</v>
      </c>
      <c r="E84" t="s">
        <v>34</v>
      </c>
      <c r="F84" t="s">
        <v>44</v>
      </c>
      <c r="G84" t="s">
        <v>28</v>
      </c>
      <c r="H84">
        <v>9.3000000000000007</v>
      </c>
      <c r="I84" t="s">
        <v>27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 t="s">
        <v>29</v>
      </c>
      <c r="R84" t="s">
        <v>45</v>
      </c>
      <c r="S84" t="s">
        <v>32</v>
      </c>
      <c r="T84" t="s">
        <v>492</v>
      </c>
      <c r="U84" t="s">
        <v>32</v>
      </c>
    </row>
    <row r="85" spans="1:21" x14ac:dyDescent="0.3">
      <c r="A85">
        <v>2025</v>
      </c>
      <c r="B85">
        <v>9</v>
      </c>
      <c r="C85" t="s">
        <v>24</v>
      </c>
      <c r="D85" t="s">
        <v>46</v>
      </c>
      <c r="E85" t="s">
        <v>34</v>
      </c>
      <c r="F85" t="s">
        <v>47</v>
      </c>
      <c r="G85" t="s">
        <v>28</v>
      </c>
      <c r="H85">
        <v>9.3000000000000007</v>
      </c>
      <c r="I85" t="s">
        <v>27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 t="s">
        <v>29</v>
      </c>
      <c r="Q85" t="s">
        <v>48</v>
      </c>
      <c r="R85" t="s">
        <v>49</v>
      </c>
      <c r="S85" t="s">
        <v>32</v>
      </c>
      <c r="T85" t="s">
        <v>493</v>
      </c>
      <c r="U85" t="s">
        <v>32</v>
      </c>
    </row>
    <row r="86" spans="1:21" x14ac:dyDescent="0.3">
      <c r="A86">
        <v>2025</v>
      </c>
      <c r="B86">
        <v>10</v>
      </c>
      <c r="C86" t="s">
        <v>24</v>
      </c>
      <c r="D86" t="s">
        <v>50</v>
      </c>
      <c r="E86" t="s">
        <v>34</v>
      </c>
      <c r="F86" t="s">
        <v>35</v>
      </c>
      <c r="G86" t="s">
        <v>28</v>
      </c>
      <c r="H86">
        <v>9.3000000000000007</v>
      </c>
      <c r="I86" t="s">
        <v>27</v>
      </c>
      <c r="J86">
        <v>0</v>
      </c>
      <c r="K86">
        <v>3</v>
      </c>
      <c r="L86">
        <v>0</v>
      </c>
      <c r="M86">
        <v>0</v>
      </c>
      <c r="N86">
        <v>0</v>
      </c>
      <c r="O86">
        <v>3</v>
      </c>
      <c r="P86" t="s">
        <v>29</v>
      </c>
      <c r="R86" t="s">
        <v>51</v>
      </c>
      <c r="S86" t="s">
        <v>32</v>
      </c>
      <c r="T86" t="s">
        <v>494</v>
      </c>
      <c r="U86" t="s">
        <v>32</v>
      </c>
    </row>
    <row r="87" spans="1:21" x14ac:dyDescent="0.3">
      <c r="A87">
        <v>2025</v>
      </c>
      <c r="B87">
        <v>11</v>
      </c>
      <c r="C87" t="s">
        <v>24</v>
      </c>
      <c r="D87" t="s">
        <v>52</v>
      </c>
      <c r="E87" t="s">
        <v>34</v>
      </c>
      <c r="F87" t="s">
        <v>35</v>
      </c>
      <c r="G87" t="s">
        <v>28</v>
      </c>
      <c r="H87">
        <v>9.3000000000000007</v>
      </c>
      <c r="I87" t="s">
        <v>27</v>
      </c>
      <c r="J87">
        <v>0</v>
      </c>
      <c r="K87">
        <v>3</v>
      </c>
      <c r="L87">
        <v>0</v>
      </c>
      <c r="M87">
        <v>0</v>
      </c>
      <c r="N87">
        <v>0</v>
      </c>
      <c r="O87">
        <v>3</v>
      </c>
      <c r="P87" t="s">
        <v>29</v>
      </c>
      <c r="R87" t="s">
        <v>49</v>
      </c>
      <c r="S87" t="s">
        <v>32</v>
      </c>
      <c r="T87" t="s">
        <v>495</v>
      </c>
      <c r="U87" t="s">
        <v>32</v>
      </c>
    </row>
    <row r="88" spans="1:21" x14ac:dyDescent="0.3">
      <c r="A88">
        <v>2025</v>
      </c>
      <c r="B88">
        <v>12</v>
      </c>
      <c r="C88" t="s">
        <v>24</v>
      </c>
      <c r="D88" t="s">
        <v>53</v>
      </c>
      <c r="E88" t="s">
        <v>34</v>
      </c>
      <c r="F88" t="s">
        <v>35</v>
      </c>
      <c r="G88" t="s">
        <v>28</v>
      </c>
      <c r="H88">
        <v>9.3000000000000007</v>
      </c>
      <c r="I88" t="s">
        <v>27</v>
      </c>
      <c r="J88">
        <v>0</v>
      </c>
      <c r="K88">
        <v>3</v>
      </c>
      <c r="L88">
        <v>0</v>
      </c>
      <c r="M88">
        <v>0</v>
      </c>
      <c r="N88">
        <v>0</v>
      </c>
      <c r="O88">
        <v>3</v>
      </c>
      <c r="P88" t="s">
        <v>29</v>
      </c>
      <c r="R88" t="s">
        <v>54</v>
      </c>
      <c r="S88" t="s">
        <v>32</v>
      </c>
      <c r="T88" t="s">
        <v>496</v>
      </c>
      <c r="U88" t="s">
        <v>32</v>
      </c>
    </row>
    <row r="89" spans="1:21" x14ac:dyDescent="0.3">
      <c r="A89">
        <v>2025</v>
      </c>
      <c r="B89">
        <v>13</v>
      </c>
      <c r="C89" t="s">
        <v>24</v>
      </c>
      <c r="D89" t="s">
        <v>55</v>
      </c>
      <c r="E89" t="s">
        <v>34</v>
      </c>
      <c r="F89" t="s">
        <v>47</v>
      </c>
      <c r="G89" t="s">
        <v>28</v>
      </c>
      <c r="H89">
        <v>9.3000000000000007</v>
      </c>
      <c r="I89" t="s">
        <v>27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 t="s">
        <v>29</v>
      </c>
      <c r="R89" t="s">
        <v>56</v>
      </c>
      <c r="S89" t="s">
        <v>32</v>
      </c>
      <c r="T89" t="s">
        <v>497</v>
      </c>
      <c r="U89" t="s">
        <v>32</v>
      </c>
    </row>
    <row r="90" spans="1:21" x14ac:dyDescent="0.3">
      <c r="A90">
        <v>2025</v>
      </c>
      <c r="B90">
        <v>14</v>
      </c>
      <c r="C90" t="s">
        <v>24</v>
      </c>
      <c r="D90" t="s">
        <v>57</v>
      </c>
      <c r="E90" t="s">
        <v>34</v>
      </c>
      <c r="F90" t="s">
        <v>35</v>
      </c>
      <c r="G90" t="s">
        <v>28</v>
      </c>
      <c r="H90">
        <v>9.3000000000000007</v>
      </c>
      <c r="I90" t="s">
        <v>27</v>
      </c>
      <c r="J90">
        <v>0</v>
      </c>
      <c r="K90">
        <v>3</v>
      </c>
      <c r="L90">
        <v>0</v>
      </c>
      <c r="M90">
        <v>0</v>
      </c>
      <c r="N90">
        <v>0</v>
      </c>
      <c r="O90">
        <v>3</v>
      </c>
      <c r="P90" t="s">
        <v>29</v>
      </c>
      <c r="R90" t="s">
        <v>58</v>
      </c>
      <c r="S90" t="s">
        <v>32</v>
      </c>
      <c r="T90" t="s">
        <v>498</v>
      </c>
      <c r="U90" t="s">
        <v>32</v>
      </c>
    </row>
    <row r="91" spans="1:21" x14ac:dyDescent="0.3">
      <c r="A91">
        <v>2025</v>
      </c>
      <c r="B91">
        <v>15</v>
      </c>
      <c r="C91" t="s">
        <v>59</v>
      </c>
      <c r="D91" t="s">
        <v>60</v>
      </c>
      <c r="E91" t="s">
        <v>34</v>
      </c>
      <c r="F91" t="s">
        <v>47</v>
      </c>
      <c r="G91" t="s">
        <v>28</v>
      </c>
      <c r="H91">
        <v>9.3000000000000007</v>
      </c>
      <c r="I91" t="s">
        <v>27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 t="s">
        <v>29</v>
      </c>
      <c r="Q91" t="s">
        <v>61</v>
      </c>
      <c r="R91" t="s">
        <v>62</v>
      </c>
      <c r="S91" t="s">
        <v>32</v>
      </c>
      <c r="T91" t="s">
        <v>499</v>
      </c>
      <c r="U91" t="s">
        <v>32</v>
      </c>
    </row>
    <row r="92" spans="1:21" x14ac:dyDescent="0.3">
      <c r="A92">
        <v>2025</v>
      </c>
      <c r="B92">
        <v>16</v>
      </c>
      <c r="C92" t="s">
        <v>59</v>
      </c>
      <c r="D92" t="s">
        <v>63</v>
      </c>
      <c r="E92" t="s">
        <v>26</v>
      </c>
      <c r="F92" t="s">
        <v>27</v>
      </c>
      <c r="G92" t="s">
        <v>28</v>
      </c>
      <c r="H92">
        <v>9.3000000000000007</v>
      </c>
      <c r="I92" t="s">
        <v>27</v>
      </c>
      <c r="J92">
        <v>3</v>
      </c>
      <c r="K92">
        <v>0</v>
      </c>
      <c r="L92">
        <v>0</v>
      </c>
      <c r="M92">
        <v>0</v>
      </c>
      <c r="N92">
        <v>0</v>
      </c>
      <c r="O92">
        <v>3</v>
      </c>
      <c r="P92" t="s">
        <v>29</v>
      </c>
      <c r="Q92" t="s">
        <v>64</v>
      </c>
      <c r="R92" t="s">
        <v>65</v>
      </c>
      <c r="S92" t="s">
        <v>32</v>
      </c>
      <c r="T92" t="s">
        <v>500</v>
      </c>
      <c r="U92" t="s">
        <v>32</v>
      </c>
    </row>
    <row r="93" spans="1:21" x14ac:dyDescent="0.3">
      <c r="A93">
        <v>2025</v>
      </c>
      <c r="B93">
        <v>17</v>
      </c>
      <c r="C93" t="s">
        <v>59</v>
      </c>
      <c r="D93" t="s">
        <v>66</v>
      </c>
      <c r="E93" t="s">
        <v>34</v>
      </c>
      <c r="F93" t="s">
        <v>35</v>
      </c>
      <c r="G93" t="s">
        <v>28</v>
      </c>
      <c r="H93">
        <v>9.3000000000000007</v>
      </c>
      <c r="I93" t="s">
        <v>27</v>
      </c>
      <c r="J93">
        <v>0</v>
      </c>
      <c r="K93">
        <v>3</v>
      </c>
      <c r="L93">
        <v>0</v>
      </c>
      <c r="M93">
        <v>0</v>
      </c>
      <c r="N93">
        <v>0</v>
      </c>
      <c r="O93">
        <v>3</v>
      </c>
      <c r="P93" t="s">
        <v>29</v>
      </c>
      <c r="R93" t="s">
        <v>67</v>
      </c>
      <c r="S93" t="s">
        <v>32</v>
      </c>
      <c r="T93" t="s">
        <v>501</v>
      </c>
      <c r="U93" t="s">
        <v>32</v>
      </c>
    </row>
    <row r="94" spans="1:21" x14ac:dyDescent="0.3">
      <c r="A94">
        <v>2025</v>
      </c>
      <c r="B94">
        <v>18</v>
      </c>
      <c r="C94" t="s">
        <v>59</v>
      </c>
      <c r="D94" t="s">
        <v>68</v>
      </c>
      <c r="E94" t="s">
        <v>34</v>
      </c>
      <c r="F94" t="s">
        <v>35</v>
      </c>
      <c r="G94" t="s">
        <v>28</v>
      </c>
      <c r="H94">
        <v>9.3000000000000007</v>
      </c>
      <c r="I94" t="s">
        <v>27</v>
      </c>
      <c r="J94">
        <v>0</v>
      </c>
      <c r="K94">
        <v>3</v>
      </c>
      <c r="L94">
        <v>0</v>
      </c>
      <c r="M94">
        <v>0</v>
      </c>
      <c r="N94">
        <v>0</v>
      </c>
      <c r="O94">
        <v>3</v>
      </c>
      <c r="P94" t="s">
        <v>29</v>
      </c>
      <c r="R94" t="s">
        <v>69</v>
      </c>
      <c r="S94" t="s">
        <v>32</v>
      </c>
      <c r="T94" t="s">
        <v>502</v>
      </c>
      <c r="U94" t="s">
        <v>32</v>
      </c>
    </row>
    <row r="95" spans="1:21" x14ac:dyDescent="0.3">
      <c r="A95">
        <v>2025</v>
      </c>
      <c r="B95">
        <v>19</v>
      </c>
      <c r="C95" t="s">
        <v>59</v>
      </c>
      <c r="D95" t="s">
        <v>70</v>
      </c>
      <c r="E95" t="s">
        <v>34</v>
      </c>
      <c r="F95" t="s">
        <v>35</v>
      </c>
      <c r="G95" t="s">
        <v>28</v>
      </c>
      <c r="H95">
        <v>9.3000000000000007</v>
      </c>
      <c r="I95" t="s">
        <v>27</v>
      </c>
      <c r="J95">
        <v>0</v>
      </c>
      <c r="K95">
        <v>3</v>
      </c>
      <c r="L95">
        <v>0</v>
      </c>
      <c r="M95">
        <v>0</v>
      </c>
      <c r="N95">
        <v>0</v>
      </c>
      <c r="O95">
        <v>3</v>
      </c>
      <c r="P95" t="s">
        <v>29</v>
      </c>
      <c r="R95" t="s">
        <v>71</v>
      </c>
      <c r="S95" t="s">
        <v>32</v>
      </c>
      <c r="T95" t="s">
        <v>503</v>
      </c>
      <c r="U95" t="s">
        <v>32</v>
      </c>
    </row>
    <row r="96" spans="1:21" x14ac:dyDescent="0.3">
      <c r="A96">
        <v>2025</v>
      </c>
      <c r="B96">
        <v>20</v>
      </c>
      <c r="C96" t="s">
        <v>59</v>
      </c>
      <c r="D96" t="s">
        <v>72</v>
      </c>
      <c r="E96" t="s">
        <v>34</v>
      </c>
      <c r="F96" t="s">
        <v>35</v>
      </c>
      <c r="G96" t="s">
        <v>28</v>
      </c>
      <c r="H96">
        <v>9.3000000000000007</v>
      </c>
      <c r="I96" t="s">
        <v>27</v>
      </c>
      <c r="J96">
        <v>0</v>
      </c>
      <c r="K96">
        <v>3</v>
      </c>
      <c r="L96">
        <v>0</v>
      </c>
      <c r="M96">
        <v>0</v>
      </c>
      <c r="N96">
        <v>0</v>
      </c>
      <c r="O96">
        <v>3</v>
      </c>
      <c r="P96" t="s">
        <v>29</v>
      </c>
      <c r="R96" t="s">
        <v>73</v>
      </c>
      <c r="S96" t="s">
        <v>32</v>
      </c>
      <c r="T96" t="s">
        <v>504</v>
      </c>
      <c r="U96" t="s">
        <v>32</v>
      </c>
    </row>
    <row r="97" spans="1:21" x14ac:dyDescent="0.3">
      <c r="A97">
        <v>2025</v>
      </c>
      <c r="B97">
        <v>21</v>
      </c>
      <c r="C97" t="s">
        <v>59</v>
      </c>
      <c r="D97" t="s">
        <v>74</v>
      </c>
      <c r="E97" t="s">
        <v>34</v>
      </c>
      <c r="F97" t="s">
        <v>27</v>
      </c>
      <c r="G97" t="s">
        <v>28</v>
      </c>
      <c r="H97">
        <v>9.3000000000000007</v>
      </c>
      <c r="I97" t="s">
        <v>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 t="s">
        <v>75</v>
      </c>
      <c r="R97" t="s">
        <v>76</v>
      </c>
      <c r="S97" t="s">
        <v>32</v>
      </c>
      <c r="T97" t="s">
        <v>505</v>
      </c>
      <c r="U97" t="s">
        <v>32</v>
      </c>
    </row>
    <row r="98" spans="1:21" x14ac:dyDescent="0.3">
      <c r="A98">
        <v>2025</v>
      </c>
      <c r="B98">
        <v>22</v>
      </c>
      <c r="C98" t="s">
        <v>59</v>
      </c>
      <c r="D98" t="s">
        <v>77</v>
      </c>
      <c r="E98" t="s">
        <v>34</v>
      </c>
      <c r="F98" t="s">
        <v>35</v>
      </c>
      <c r="G98" t="s">
        <v>28</v>
      </c>
      <c r="H98">
        <v>9.3000000000000007</v>
      </c>
      <c r="I98" t="s">
        <v>27</v>
      </c>
      <c r="J98">
        <v>0</v>
      </c>
      <c r="K98">
        <v>3</v>
      </c>
      <c r="L98">
        <v>0</v>
      </c>
      <c r="M98">
        <v>0</v>
      </c>
      <c r="N98">
        <v>0</v>
      </c>
      <c r="O98">
        <v>3</v>
      </c>
      <c r="P98" t="s">
        <v>29</v>
      </c>
      <c r="R98" t="s">
        <v>78</v>
      </c>
      <c r="S98" t="s">
        <v>32</v>
      </c>
      <c r="T98" t="s">
        <v>505</v>
      </c>
      <c r="U98" t="s">
        <v>32</v>
      </c>
    </row>
    <row r="99" spans="1:21" x14ac:dyDescent="0.3">
      <c r="A99">
        <v>2025</v>
      </c>
      <c r="B99">
        <v>23</v>
      </c>
      <c r="C99" t="s">
        <v>59</v>
      </c>
      <c r="D99" t="s">
        <v>79</v>
      </c>
      <c r="E99" t="s">
        <v>34</v>
      </c>
      <c r="F99" t="s">
        <v>35</v>
      </c>
      <c r="G99" t="s">
        <v>28</v>
      </c>
      <c r="H99">
        <v>9.3000000000000007</v>
      </c>
      <c r="I99" t="s">
        <v>27</v>
      </c>
      <c r="J99">
        <v>0</v>
      </c>
      <c r="K99">
        <v>3</v>
      </c>
      <c r="L99">
        <v>0</v>
      </c>
      <c r="M99">
        <v>0</v>
      </c>
      <c r="N99">
        <v>0</v>
      </c>
      <c r="O99">
        <v>3</v>
      </c>
      <c r="P99" t="s">
        <v>29</v>
      </c>
      <c r="R99" t="s">
        <v>80</v>
      </c>
      <c r="S99" t="s">
        <v>32</v>
      </c>
      <c r="T99" t="s">
        <v>506</v>
      </c>
      <c r="U99" t="s">
        <v>32</v>
      </c>
    </row>
    <row r="100" spans="1:21" x14ac:dyDescent="0.3">
      <c r="A100">
        <v>2025</v>
      </c>
      <c r="B100">
        <v>24</v>
      </c>
      <c r="C100" t="s">
        <v>59</v>
      </c>
      <c r="D100" t="s">
        <v>81</v>
      </c>
      <c r="E100" t="s">
        <v>34</v>
      </c>
      <c r="F100" t="s">
        <v>35</v>
      </c>
      <c r="G100" t="s">
        <v>28</v>
      </c>
      <c r="H100">
        <v>9.3000000000000007</v>
      </c>
      <c r="I100" t="s">
        <v>27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3</v>
      </c>
      <c r="P100" t="s">
        <v>29</v>
      </c>
      <c r="R100" t="s">
        <v>82</v>
      </c>
      <c r="S100" t="s">
        <v>32</v>
      </c>
      <c r="T100" t="s">
        <v>507</v>
      </c>
      <c r="U100" t="s">
        <v>32</v>
      </c>
    </row>
    <row r="101" spans="1:21" x14ac:dyDescent="0.3">
      <c r="A101">
        <v>2025</v>
      </c>
      <c r="B101">
        <v>25</v>
      </c>
      <c r="C101" t="s">
        <v>59</v>
      </c>
      <c r="D101" t="s">
        <v>83</v>
      </c>
      <c r="E101" t="s">
        <v>34</v>
      </c>
      <c r="F101" t="s">
        <v>35</v>
      </c>
      <c r="G101" t="s">
        <v>28</v>
      </c>
      <c r="H101">
        <v>9.3000000000000007</v>
      </c>
      <c r="I101" t="s">
        <v>27</v>
      </c>
      <c r="J101">
        <v>0</v>
      </c>
      <c r="K101">
        <v>3</v>
      </c>
      <c r="L101">
        <v>0</v>
      </c>
      <c r="M101">
        <v>0</v>
      </c>
      <c r="N101">
        <v>0</v>
      </c>
      <c r="O101">
        <v>3</v>
      </c>
      <c r="P101" t="s">
        <v>29</v>
      </c>
      <c r="R101" t="s">
        <v>84</v>
      </c>
      <c r="S101" t="s">
        <v>32</v>
      </c>
      <c r="T101" t="s">
        <v>508</v>
      </c>
      <c r="U101" t="s">
        <v>32</v>
      </c>
    </row>
    <row r="102" spans="1:21" x14ac:dyDescent="0.3">
      <c r="A102">
        <v>2025</v>
      </c>
      <c r="B102">
        <v>26</v>
      </c>
      <c r="C102" t="s">
        <v>59</v>
      </c>
      <c r="D102" t="s">
        <v>85</v>
      </c>
      <c r="E102" t="s">
        <v>34</v>
      </c>
      <c r="F102" t="s">
        <v>35</v>
      </c>
      <c r="G102" t="s">
        <v>28</v>
      </c>
      <c r="H102">
        <v>9.3000000000000007</v>
      </c>
      <c r="I102" t="s">
        <v>27</v>
      </c>
      <c r="J102">
        <v>0</v>
      </c>
      <c r="K102">
        <v>3</v>
      </c>
      <c r="L102">
        <v>0</v>
      </c>
      <c r="M102">
        <v>0</v>
      </c>
      <c r="N102">
        <v>0</v>
      </c>
      <c r="O102">
        <v>3</v>
      </c>
      <c r="P102" t="s">
        <v>29</v>
      </c>
      <c r="R102" t="s">
        <v>86</v>
      </c>
      <c r="S102" t="s">
        <v>32</v>
      </c>
      <c r="T102" t="s">
        <v>509</v>
      </c>
      <c r="U102" t="s">
        <v>32</v>
      </c>
    </row>
    <row r="103" spans="1:21" x14ac:dyDescent="0.3">
      <c r="A103">
        <v>2025</v>
      </c>
      <c r="B103">
        <v>27</v>
      </c>
      <c r="C103" t="s">
        <v>59</v>
      </c>
      <c r="D103" t="s">
        <v>87</v>
      </c>
      <c r="E103" t="s">
        <v>34</v>
      </c>
      <c r="F103" t="s">
        <v>27</v>
      </c>
      <c r="G103" t="s">
        <v>28</v>
      </c>
      <c r="H103">
        <v>9.3000000000000007</v>
      </c>
      <c r="I103" t="s">
        <v>27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29</v>
      </c>
      <c r="Q103" t="s">
        <v>41</v>
      </c>
      <c r="R103" t="s">
        <v>88</v>
      </c>
      <c r="S103" t="s">
        <v>32</v>
      </c>
      <c r="T103" t="s">
        <v>510</v>
      </c>
      <c r="U103" t="s">
        <v>32</v>
      </c>
    </row>
    <row r="104" spans="1:21" x14ac:dyDescent="0.3">
      <c r="A104">
        <v>2025</v>
      </c>
      <c r="B104">
        <v>28</v>
      </c>
      <c r="C104" t="s">
        <v>59</v>
      </c>
      <c r="D104" t="s">
        <v>89</v>
      </c>
      <c r="E104" t="s">
        <v>34</v>
      </c>
      <c r="F104" t="s">
        <v>35</v>
      </c>
      <c r="G104" t="s">
        <v>28</v>
      </c>
      <c r="H104">
        <v>9.3000000000000007</v>
      </c>
      <c r="I104" t="s">
        <v>27</v>
      </c>
      <c r="J104">
        <v>0</v>
      </c>
      <c r="K104">
        <v>3</v>
      </c>
      <c r="L104">
        <v>0</v>
      </c>
      <c r="M104">
        <v>0</v>
      </c>
      <c r="N104">
        <v>0</v>
      </c>
      <c r="O104">
        <v>3</v>
      </c>
      <c r="P104" t="s">
        <v>29</v>
      </c>
      <c r="R104" t="s">
        <v>90</v>
      </c>
      <c r="S104" t="s">
        <v>32</v>
      </c>
      <c r="T104" t="s">
        <v>511</v>
      </c>
      <c r="U104" t="s">
        <v>32</v>
      </c>
    </row>
    <row r="105" spans="1:21" x14ac:dyDescent="0.3">
      <c r="A105">
        <v>2025</v>
      </c>
      <c r="B105">
        <v>29</v>
      </c>
      <c r="C105" t="s">
        <v>59</v>
      </c>
      <c r="D105" t="s">
        <v>91</v>
      </c>
      <c r="E105" t="s">
        <v>34</v>
      </c>
      <c r="F105" t="s">
        <v>35</v>
      </c>
      <c r="G105" t="s">
        <v>28</v>
      </c>
      <c r="H105">
        <v>9.3000000000000007</v>
      </c>
      <c r="I105" t="s">
        <v>27</v>
      </c>
      <c r="J105">
        <v>0</v>
      </c>
      <c r="K105">
        <v>3</v>
      </c>
      <c r="L105">
        <v>0</v>
      </c>
      <c r="M105">
        <v>0</v>
      </c>
      <c r="N105">
        <v>0</v>
      </c>
      <c r="O105">
        <v>3</v>
      </c>
      <c r="P105" t="s">
        <v>29</v>
      </c>
      <c r="R105" t="s">
        <v>92</v>
      </c>
      <c r="S105" t="s">
        <v>32</v>
      </c>
      <c r="T105" t="s">
        <v>512</v>
      </c>
      <c r="U105" t="s">
        <v>32</v>
      </c>
    </row>
    <row r="106" spans="1:21" x14ac:dyDescent="0.3">
      <c r="A106">
        <v>2025</v>
      </c>
      <c r="B106">
        <v>30</v>
      </c>
      <c r="C106" t="s">
        <v>59</v>
      </c>
      <c r="D106" t="s">
        <v>93</v>
      </c>
      <c r="E106" t="s">
        <v>34</v>
      </c>
      <c r="F106" t="s">
        <v>35</v>
      </c>
      <c r="G106" t="s">
        <v>28</v>
      </c>
      <c r="H106">
        <v>9.3000000000000007</v>
      </c>
      <c r="I106" t="s">
        <v>27</v>
      </c>
      <c r="J106">
        <v>0</v>
      </c>
      <c r="K106">
        <v>3</v>
      </c>
      <c r="L106">
        <v>0</v>
      </c>
      <c r="M106">
        <v>0</v>
      </c>
      <c r="N106">
        <v>0</v>
      </c>
      <c r="O106">
        <v>3</v>
      </c>
      <c r="P106" t="s">
        <v>29</v>
      </c>
      <c r="R106" t="s">
        <v>94</v>
      </c>
      <c r="S106" t="s">
        <v>32</v>
      </c>
      <c r="T106" t="s">
        <v>513</v>
      </c>
      <c r="U106" t="s">
        <v>32</v>
      </c>
    </row>
    <row r="107" spans="1:21" x14ac:dyDescent="0.3">
      <c r="A107">
        <v>2025</v>
      </c>
      <c r="B107">
        <v>31</v>
      </c>
      <c r="C107" t="s">
        <v>59</v>
      </c>
      <c r="D107" t="s">
        <v>95</v>
      </c>
      <c r="E107" t="s">
        <v>34</v>
      </c>
      <c r="F107" t="s">
        <v>35</v>
      </c>
      <c r="G107" t="s">
        <v>28</v>
      </c>
      <c r="H107">
        <v>9.3000000000000007</v>
      </c>
      <c r="I107" t="s">
        <v>27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3</v>
      </c>
      <c r="P107" t="s">
        <v>29</v>
      </c>
      <c r="R107" t="s">
        <v>96</v>
      </c>
      <c r="S107" t="s">
        <v>32</v>
      </c>
      <c r="T107" t="s">
        <v>514</v>
      </c>
      <c r="U107" t="s">
        <v>32</v>
      </c>
    </row>
    <row r="108" spans="1:21" x14ac:dyDescent="0.3">
      <c r="A108">
        <v>2025</v>
      </c>
      <c r="B108">
        <v>32</v>
      </c>
      <c r="C108" t="s">
        <v>59</v>
      </c>
      <c r="D108" t="s">
        <v>97</v>
      </c>
      <c r="E108" t="s">
        <v>34</v>
      </c>
      <c r="F108" t="s">
        <v>35</v>
      </c>
      <c r="G108" t="s">
        <v>28</v>
      </c>
      <c r="H108">
        <v>9.3000000000000007</v>
      </c>
      <c r="I108" t="s">
        <v>27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3</v>
      </c>
      <c r="P108" t="s">
        <v>29</v>
      </c>
      <c r="Q108" t="s">
        <v>36</v>
      </c>
      <c r="R108" t="s">
        <v>479</v>
      </c>
      <c r="S108" t="s">
        <v>32</v>
      </c>
      <c r="T108" t="s">
        <v>515</v>
      </c>
      <c r="U108" t="s">
        <v>32</v>
      </c>
    </row>
    <row r="109" spans="1:21" x14ac:dyDescent="0.3">
      <c r="A109">
        <v>2025</v>
      </c>
      <c r="B109">
        <v>33</v>
      </c>
      <c r="C109" t="s">
        <v>59</v>
      </c>
      <c r="D109" t="s">
        <v>98</v>
      </c>
      <c r="E109" t="s">
        <v>34</v>
      </c>
      <c r="F109" t="s">
        <v>35</v>
      </c>
      <c r="G109" t="s">
        <v>28</v>
      </c>
      <c r="H109">
        <v>9.3000000000000007</v>
      </c>
      <c r="I109" t="s">
        <v>27</v>
      </c>
      <c r="J109">
        <v>0</v>
      </c>
      <c r="K109">
        <v>3</v>
      </c>
      <c r="L109">
        <v>0</v>
      </c>
      <c r="M109">
        <v>0</v>
      </c>
      <c r="N109">
        <v>0</v>
      </c>
      <c r="O109">
        <v>3</v>
      </c>
      <c r="P109" t="s">
        <v>29</v>
      </c>
      <c r="R109" t="s">
        <v>99</v>
      </c>
      <c r="S109" t="s">
        <v>32</v>
      </c>
      <c r="T109" t="s">
        <v>516</v>
      </c>
      <c r="U109" t="s">
        <v>32</v>
      </c>
    </row>
    <row r="110" spans="1:21" x14ac:dyDescent="0.3">
      <c r="A110">
        <v>2025</v>
      </c>
      <c r="B110">
        <v>34</v>
      </c>
      <c r="C110" t="s">
        <v>59</v>
      </c>
      <c r="D110" t="s">
        <v>100</v>
      </c>
      <c r="E110" t="s">
        <v>34</v>
      </c>
      <c r="F110" t="s">
        <v>35</v>
      </c>
      <c r="G110" t="s">
        <v>28</v>
      </c>
      <c r="H110">
        <v>9.3000000000000007</v>
      </c>
      <c r="I110" t="s">
        <v>27</v>
      </c>
      <c r="J110">
        <v>0</v>
      </c>
      <c r="K110">
        <v>3</v>
      </c>
      <c r="L110">
        <v>0</v>
      </c>
      <c r="M110">
        <v>0</v>
      </c>
      <c r="N110">
        <v>0</v>
      </c>
      <c r="O110">
        <v>3</v>
      </c>
      <c r="P110" t="s">
        <v>29</v>
      </c>
      <c r="R110" t="s">
        <v>101</v>
      </c>
      <c r="S110" t="s">
        <v>32</v>
      </c>
      <c r="T110" t="s">
        <v>517</v>
      </c>
      <c r="U110" t="s">
        <v>32</v>
      </c>
    </row>
    <row r="111" spans="1:21" x14ac:dyDescent="0.3">
      <c r="A111">
        <v>2025</v>
      </c>
      <c r="B111">
        <v>35</v>
      </c>
      <c r="C111" t="s">
        <v>59</v>
      </c>
      <c r="D111" t="s">
        <v>102</v>
      </c>
      <c r="E111" t="s">
        <v>34</v>
      </c>
      <c r="F111" t="s">
        <v>27</v>
      </c>
      <c r="G111" t="s">
        <v>28</v>
      </c>
      <c r="H111">
        <v>9.3000000000000007</v>
      </c>
      <c r="I111" t="s">
        <v>27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 t="s">
        <v>41</v>
      </c>
      <c r="R111" t="s">
        <v>101</v>
      </c>
      <c r="S111" t="s">
        <v>32</v>
      </c>
      <c r="T111" t="s">
        <v>518</v>
      </c>
      <c r="U111" t="s">
        <v>32</v>
      </c>
    </row>
    <row r="112" spans="1:21" x14ac:dyDescent="0.3">
      <c r="A112">
        <v>2025</v>
      </c>
      <c r="B112">
        <v>36</v>
      </c>
      <c r="C112" t="s">
        <v>59</v>
      </c>
      <c r="D112" t="s">
        <v>103</v>
      </c>
      <c r="E112" t="s">
        <v>34</v>
      </c>
      <c r="F112" t="s">
        <v>27</v>
      </c>
      <c r="G112" t="s">
        <v>28</v>
      </c>
      <c r="H112">
        <v>9.3000000000000007</v>
      </c>
      <c r="I112" t="s">
        <v>27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  <c r="Q112" t="s">
        <v>41</v>
      </c>
      <c r="R112" t="s">
        <v>104</v>
      </c>
      <c r="S112" t="s">
        <v>32</v>
      </c>
      <c r="T112" t="s">
        <v>519</v>
      </c>
      <c r="U112" t="s">
        <v>32</v>
      </c>
    </row>
    <row r="113" spans="1:21" x14ac:dyDescent="0.3">
      <c r="A113">
        <v>2025</v>
      </c>
      <c r="B113">
        <v>37</v>
      </c>
      <c r="C113" t="s">
        <v>59</v>
      </c>
      <c r="D113" t="s">
        <v>105</v>
      </c>
      <c r="E113" t="s">
        <v>34</v>
      </c>
      <c r="F113" t="s">
        <v>47</v>
      </c>
      <c r="G113" t="s">
        <v>28</v>
      </c>
      <c r="H113">
        <v>9.3000000000000007</v>
      </c>
      <c r="I113" t="s">
        <v>27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 t="s">
        <v>29</v>
      </c>
      <c r="R113" t="s">
        <v>104</v>
      </c>
      <c r="S113" t="s">
        <v>32</v>
      </c>
      <c r="T113" t="s">
        <v>520</v>
      </c>
      <c r="U113" t="s">
        <v>32</v>
      </c>
    </row>
    <row r="114" spans="1:21" x14ac:dyDescent="0.3">
      <c r="A114">
        <v>2025</v>
      </c>
      <c r="B114">
        <v>38</v>
      </c>
      <c r="C114" t="s">
        <v>59</v>
      </c>
      <c r="D114" t="s">
        <v>106</v>
      </c>
      <c r="E114" t="s">
        <v>34</v>
      </c>
      <c r="F114" t="s">
        <v>35</v>
      </c>
      <c r="G114" t="s">
        <v>28</v>
      </c>
      <c r="H114">
        <v>9.3000000000000007</v>
      </c>
      <c r="I114" t="s">
        <v>27</v>
      </c>
      <c r="J114">
        <v>0</v>
      </c>
      <c r="K114">
        <v>3</v>
      </c>
      <c r="L114">
        <v>0</v>
      </c>
      <c r="M114">
        <v>0</v>
      </c>
      <c r="N114">
        <v>0</v>
      </c>
      <c r="O114">
        <v>3</v>
      </c>
      <c r="P114" t="s">
        <v>29</v>
      </c>
      <c r="R114" t="s">
        <v>107</v>
      </c>
      <c r="S114" t="s">
        <v>32</v>
      </c>
      <c r="T114" t="s">
        <v>521</v>
      </c>
      <c r="U114" t="s">
        <v>32</v>
      </c>
    </row>
    <row r="115" spans="1:21" x14ac:dyDescent="0.3">
      <c r="A115">
        <v>2025</v>
      </c>
      <c r="B115">
        <v>39</v>
      </c>
      <c r="C115" t="s">
        <v>59</v>
      </c>
      <c r="D115" t="s">
        <v>108</v>
      </c>
      <c r="E115" t="s">
        <v>34</v>
      </c>
      <c r="F115" t="s">
        <v>27</v>
      </c>
      <c r="G115" t="s">
        <v>28</v>
      </c>
      <c r="H115">
        <v>9.3000000000000007</v>
      </c>
      <c r="I115" t="s">
        <v>27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29</v>
      </c>
      <c r="Q115" t="s">
        <v>41</v>
      </c>
      <c r="R115" t="s">
        <v>109</v>
      </c>
      <c r="S115" t="s">
        <v>32</v>
      </c>
      <c r="T115" t="s">
        <v>522</v>
      </c>
      <c r="U115" t="s">
        <v>32</v>
      </c>
    </row>
    <row r="116" spans="1:21" x14ac:dyDescent="0.3">
      <c r="A116">
        <v>2025</v>
      </c>
      <c r="B116">
        <v>40</v>
      </c>
      <c r="C116" t="s">
        <v>59</v>
      </c>
      <c r="D116" t="s">
        <v>110</v>
      </c>
      <c r="E116" t="s">
        <v>34</v>
      </c>
      <c r="F116" t="s">
        <v>47</v>
      </c>
      <c r="G116" t="s">
        <v>28</v>
      </c>
      <c r="H116">
        <v>9.3000000000000007</v>
      </c>
      <c r="I116" t="s">
        <v>27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 t="s">
        <v>29</v>
      </c>
      <c r="R116" t="s">
        <v>109</v>
      </c>
      <c r="S116" t="s">
        <v>32</v>
      </c>
      <c r="T116" t="s">
        <v>523</v>
      </c>
      <c r="U116" t="s">
        <v>32</v>
      </c>
    </row>
    <row r="117" spans="1:21" x14ac:dyDescent="0.3">
      <c r="A117">
        <v>2025</v>
      </c>
      <c r="B117">
        <v>41</v>
      </c>
      <c r="C117" t="s">
        <v>59</v>
      </c>
      <c r="D117" t="s">
        <v>111</v>
      </c>
      <c r="E117" t="s">
        <v>34</v>
      </c>
      <c r="F117" t="s">
        <v>27</v>
      </c>
      <c r="G117" t="s">
        <v>28</v>
      </c>
      <c r="H117">
        <v>9.3000000000000007</v>
      </c>
      <c r="I117" t="s">
        <v>27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29</v>
      </c>
      <c r="Q117" t="s">
        <v>41</v>
      </c>
      <c r="R117" t="s">
        <v>112</v>
      </c>
      <c r="S117" t="s">
        <v>32</v>
      </c>
      <c r="T117" t="s">
        <v>524</v>
      </c>
      <c r="U117" t="s">
        <v>32</v>
      </c>
    </row>
    <row r="118" spans="1:21" x14ac:dyDescent="0.3">
      <c r="A118">
        <v>2025</v>
      </c>
      <c r="B118">
        <v>42</v>
      </c>
      <c r="C118" t="s">
        <v>59</v>
      </c>
      <c r="D118" t="s">
        <v>113</v>
      </c>
      <c r="E118" t="s">
        <v>34</v>
      </c>
      <c r="F118" t="s">
        <v>35</v>
      </c>
      <c r="G118" t="s">
        <v>28</v>
      </c>
      <c r="H118">
        <v>9.3000000000000007</v>
      </c>
      <c r="I118" t="s">
        <v>27</v>
      </c>
      <c r="J118">
        <v>0</v>
      </c>
      <c r="K118">
        <v>3</v>
      </c>
      <c r="L118">
        <v>0</v>
      </c>
      <c r="M118">
        <v>0</v>
      </c>
      <c r="N118">
        <v>0</v>
      </c>
      <c r="O118">
        <v>3</v>
      </c>
      <c r="P118" t="s">
        <v>29</v>
      </c>
      <c r="R118" t="s">
        <v>112</v>
      </c>
      <c r="S118" t="s">
        <v>32</v>
      </c>
      <c r="T118" t="s">
        <v>525</v>
      </c>
      <c r="U118" t="s">
        <v>32</v>
      </c>
    </row>
    <row r="119" spans="1:21" x14ac:dyDescent="0.3">
      <c r="A119">
        <v>2025</v>
      </c>
      <c r="B119">
        <v>43</v>
      </c>
      <c r="C119" t="s">
        <v>59</v>
      </c>
      <c r="D119" t="s">
        <v>114</v>
      </c>
      <c r="E119" t="s">
        <v>34</v>
      </c>
      <c r="F119" t="s">
        <v>35</v>
      </c>
      <c r="G119" t="s">
        <v>28</v>
      </c>
      <c r="H119">
        <v>9.3000000000000007</v>
      </c>
      <c r="I119" t="s">
        <v>27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3</v>
      </c>
      <c r="P119" t="s">
        <v>29</v>
      </c>
      <c r="Q119" t="s">
        <v>36</v>
      </c>
      <c r="R119" t="s">
        <v>115</v>
      </c>
      <c r="S119" t="s">
        <v>32</v>
      </c>
      <c r="T119" t="s">
        <v>526</v>
      </c>
      <c r="U119" t="s">
        <v>32</v>
      </c>
    </row>
    <row r="120" spans="1:21" x14ac:dyDescent="0.3">
      <c r="A120">
        <v>2025</v>
      </c>
      <c r="B120">
        <v>44</v>
      </c>
      <c r="C120" t="s">
        <v>59</v>
      </c>
      <c r="D120" t="s">
        <v>116</v>
      </c>
      <c r="E120" t="s">
        <v>34</v>
      </c>
      <c r="F120" t="s">
        <v>35</v>
      </c>
      <c r="G120" t="s">
        <v>28</v>
      </c>
      <c r="H120">
        <v>9.3000000000000007</v>
      </c>
      <c r="I120" t="s">
        <v>27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3</v>
      </c>
      <c r="P120" t="s">
        <v>29</v>
      </c>
      <c r="R120" t="s">
        <v>117</v>
      </c>
      <c r="S120" t="s">
        <v>32</v>
      </c>
      <c r="T120" t="s">
        <v>527</v>
      </c>
      <c r="U120" t="s">
        <v>32</v>
      </c>
    </row>
    <row r="121" spans="1:21" x14ac:dyDescent="0.3">
      <c r="A121">
        <v>2025</v>
      </c>
      <c r="B121">
        <v>45</v>
      </c>
      <c r="C121" t="s">
        <v>59</v>
      </c>
      <c r="D121" t="s">
        <v>118</v>
      </c>
      <c r="E121" t="s">
        <v>34</v>
      </c>
      <c r="F121" t="s">
        <v>35</v>
      </c>
      <c r="G121" t="s">
        <v>28</v>
      </c>
      <c r="H121">
        <v>9.3000000000000007</v>
      </c>
      <c r="I121" t="s">
        <v>27</v>
      </c>
      <c r="J121">
        <v>0</v>
      </c>
      <c r="K121">
        <v>3</v>
      </c>
      <c r="L121">
        <v>0</v>
      </c>
      <c r="M121">
        <v>0</v>
      </c>
      <c r="N121">
        <v>0</v>
      </c>
      <c r="O121">
        <v>3</v>
      </c>
      <c r="P121" t="s">
        <v>29</v>
      </c>
      <c r="Q121" t="s">
        <v>36</v>
      </c>
      <c r="R121" t="s">
        <v>119</v>
      </c>
      <c r="S121" t="s">
        <v>32</v>
      </c>
      <c r="T121" t="s">
        <v>528</v>
      </c>
      <c r="U121" t="s">
        <v>32</v>
      </c>
    </row>
    <row r="122" spans="1:21" x14ac:dyDescent="0.3">
      <c r="A122">
        <v>2025</v>
      </c>
      <c r="B122">
        <v>46</v>
      </c>
      <c r="C122" t="s">
        <v>59</v>
      </c>
      <c r="D122" t="s">
        <v>120</v>
      </c>
      <c r="E122" t="s">
        <v>34</v>
      </c>
      <c r="F122" t="s">
        <v>35</v>
      </c>
      <c r="G122" t="s">
        <v>28</v>
      </c>
      <c r="H122">
        <v>9.3000000000000007</v>
      </c>
      <c r="I122" t="s">
        <v>27</v>
      </c>
      <c r="J122">
        <v>0</v>
      </c>
      <c r="K122">
        <v>3</v>
      </c>
      <c r="L122">
        <v>0</v>
      </c>
      <c r="M122">
        <v>0</v>
      </c>
      <c r="N122">
        <v>0</v>
      </c>
      <c r="O122">
        <v>3</v>
      </c>
      <c r="P122" t="s">
        <v>29</v>
      </c>
      <c r="R122" t="s">
        <v>121</v>
      </c>
      <c r="S122" t="s">
        <v>32</v>
      </c>
      <c r="T122" t="s">
        <v>529</v>
      </c>
      <c r="U122" t="s">
        <v>32</v>
      </c>
    </row>
    <row r="123" spans="1:21" x14ac:dyDescent="0.3">
      <c r="A123">
        <v>2025</v>
      </c>
      <c r="B123">
        <v>47</v>
      </c>
      <c r="C123" t="s">
        <v>59</v>
      </c>
      <c r="D123" t="s">
        <v>122</v>
      </c>
      <c r="E123" t="s">
        <v>34</v>
      </c>
      <c r="F123" t="s">
        <v>44</v>
      </c>
      <c r="G123" t="s">
        <v>28</v>
      </c>
      <c r="H123">
        <v>9.3000000000000007</v>
      </c>
      <c r="I123" t="s">
        <v>27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 t="s">
        <v>29</v>
      </c>
      <c r="R123" t="s">
        <v>123</v>
      </c>
      <c r="S123" t="s">
        <v>32</v>
      </c>
      <c r="T123" t="s">
        <v>530</v>
      </c>
      <c r="U123" t="s">
        <v>32</v>
      </c>
    </row>
    <row r="124" spans="1:21" x14ac:dyDescent="0.3">
      <c r="A124">
        <v>2025</v>
      </c>
      <c r="B124">
        <v>48</v>
      </c>
      <c r="C124" t="s">
        <v>59</v>
      </c>
      <c r="D124" t="s">
        <v>124</v>
      </c>
      <c r="E124" t="s">
        <v>34</v>
      </c>
      <c r="F124" t="s">
        <v>27</v>
      </c>
      <c r="G124" t="s">
        <v>28</v>
      </c>
      <c r="H124">
        <v>9.3000000000000007</v>
      </c>
      <c r="I124" t="s">
        <v>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29</v>
      </c>
      <c r="Q124" t="s">
        <v>41</v>
      </c>
      <c r="R124" t="s">
        <v>125</v>
      </c>
      <c r="S124" t="s">
        <v>32</v>
      </c>
      <c r="T124" t="s">
        <v>531</v>
      </c>
      <c r="U124" t="s">
        <v>32</v>
      </c>
    </row>
    <row r="125" spans="1:21" x14ac:dyDescent="0.3">
      <c r="A125">
        <v>2025</v>
      </c>
      <c r="B125">
        <v>49</v>
      </c>
      <c r="C125" t="s">
        <v>59</v>
      </c>
      <c r="D125" t="s">
        <v>126</v>
      </c>
      <c r="E125" t="s">
        <v>34</v>
      </c>
      <c r="F125" t="s">
        <v>27</v>
      </c>
      <c r="G125" t="s">
        <v>28</v>
      </c>
      <c r="H125">
        <v>9.3000000000000007</v>
      </c>
      <c r="I125" t="s">
        <v>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 t="s">
        <v>127</v>
      </c>
      <c r="R125" t="s">
        <v>128</v>
      </c>
      <c r="S125" t="s">
        <v>32</v>
      </c>
      <c r="T125" t="s">
        <v>532</v>
      </c>
      <c r="U125" t="s">
        <v>32</v>
      </c>
    </row>
    <row r="126" spans="1:21" x14ac:dyDescent="0.3">
      <c r="A126">
        <v>2025</v>
      </c>
      <c r="B126">
        <v>50</v>
      </c>
      <c r="C126" t="s">
        <v>59</v>
      </c>
      <c r="D126" t="s">
        <v>129</v>
      </c>
      <c r="E126" t="s">
        <v>34</v>
      </c>
      <c r="F126" t="s">
        <v>35</v>
      </c>
      <c r="G126" t="s">
        <v>28</v>
      </c>
      <c r="H126">
        <v>9.3000000000000007</v>
      </c>
      <c r="I126" t="s">
        <v>27</v>
      </c>
      <c r="J126">
        <v>0</v>
      </c>
      <c r="K126">
        <v>3</v>
      </c>
      <c r="L126">
        <v>0</v>
      </c>
      <c r="M126">
        <v>0</v>
      </c>
      <c r="N126">
        <v>0</v>
      </c>
      <c r="O126">
        <v>3</v>
      </c>
      <c r="P126" t="s">
        <v>29</v>
      </c>
      <c r="R126" t="s">
        <v>130</v>
      </c>
      <c r="S126" t="s">
        <v>32</v>
      </c>
      <c r="T126" t="s">
        <v>533</v>
      </c>
      <c r="U126" t="s">
        <v>32</v>
      </c>
    </row>
    <row r="127" spans="1:21" x14ac:dyDescent="0.3">
      <c r="A127">
        <v>2025</v>
      </c>
      <c r="B127">
        <v>51</v>
      </c>
      <c r="C127" t="s">
        <v>59</v>
      </c>
      <c r="D127" t="s">
        <v>131</v>
      </c>
      <c r="E127" t="s">
        <v>34</v>
      </c>
      <c r="F127" t="s">
        <v>480</v>
      </c>
      <c r="G127" t="s">
        <v>28</v>
      </c>
      <c r="H127">
        <v>9.3000000000000007</v>
      </c>
      <c r="I127" t="s">
        <v>27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 t="s">
        <v>29</v>
      </c>
      <c r="R127" t="s">
        <v>132</v>
      </c>
      <c r="S127" t="s">
        <v>32</v>
      </c>
      <c r="T127" t="s">
        <v>534</v>
      </c>
      <c r="U127" t="s">
        <v>32</v>
      </c>
    </row>
    <row r="128" spans="1:21" x14ac:dyDescent="0.3">
      <c r="A128">
        <v>2025</v>
      </c>
      <c r="B128">
        <v>52</v>
      </c>
      <c r="C128" t="s">
        <v>59</v>
      </c>
      <c r="D128" t="s">
        <v>133</v>
      </c>
      <c r="E128" t="s">
        <v>34</v>
      </c>
      <c r="F128" t="s">
        <v>27</v>
      </c>
      <c r="G128" t="s">
        <v>28</v>
      </c>
      <c r="H128">
        <v>9.3000000000000007</v>
      </c>
      <c r="I128" t="s">
        <v>27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29</v>
      </c>
      <c r="Q128" t="s">
        <v>127</v>
      </c>
      <c r="R128" t="s">
        <v>134</v>
      </c>
      <c r="S128" t="s">
        <v>32</v>
      </c>
      <c r="T128" t="s">
        <v>535</v>
      </c>
      <c r="U128" t="s">
        <v>32</v>
      </c>
    </row>
    <row r="129" spans="1:21" x14ac:dyDescent="0.3">
      <c r="A129">
        <v>2025</v>
      </c>
      <c r="B129">
        <v>53</v>
      </c>
      <c r="C129" t="s">
        <v>59</v>
      </c>
      <c r="D129" t="s">
        <v>135</v>
      </c>
      <c r="E129" t="s">
        <v>34</v>
      </c>
      <c r="F129" t="s">
        <v>35</v>
      </c>
      <c r="G129" t="s">
        <v>28</v>
      </c>
      <c r="H129">
        <v>9.3000000000000007</v>
      </c>
      <c r="I129" t="s">
        <v>27</v>
      </c>
      <c r="J129">
        <v>0</v>
      </c>
      <c r="K129">
        <v>3</v>
      </c>
      <c r="L129">
        <v>0</v>
      </c>
      <c r="M129">
        <v>0</v>
      </c>
      <c r="N129">
        <v>0</v>
      </c>
      <c r="O129">
        <v>3</v>
      </c>
      <c r="P129" t="s">
        <v>29</v>
      </c>
      <c r="R129" t="s">
        <v>134</v>
      </c>
      <c r="S129" t="s">
        <v>32</v>
      </c>
      <c r="T129" t="s">
        <v>536</v>
      </c>
      <c r="U129" t="s">
        <v>32</v>
      </c>
    </row>
    <row r="130" spans="1:21" x14ac:dyDescent="0.3">
      <c r="A130">
        <v>2025</v>
      </c>
      <c r="B130">
        <v>54</v>
      </c>
      <c r="C130" t="s">
        <v>59</v>
      </c>
      <c r="D130" t="s">
        <v>136</v>
      </c>
      <c r="E130" t="s">
        <v>34</v>
      </c>
      <c r="F130" t="s">
        <v>44</v>
      </c>
      <c r="G130" t="s">
        <v>28</v>
      </c>
      <c r="H130">
        <v>9.3000000000000007</v>
      </c>
      <c r="I130" t="s">
        <v>27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 t="s">
        <v>29</v>
      </c>
      <c r="R130" t="s">
        <v>137</v>
      </c>
      <c r="S130" t="s">
        <v>32</v>
      </c>
      <c r="T130" t="s">
        <v>537</v>
      </c>
      <c r="U130" t="s">
        <v>32</v>
      </c>
    </row>
    <row r="131" spans="1:21" x14ac:dyDescent="0.3">
      <c r="A131">
        <v>2025</v>
      </c>
      <c r="B131">
        <v>55</v>
      </c>
      <c r="C131" t="s">
        <v>59</v>
      </c>
      <c r="D131" t="s">
        <v>138</v>
      </c>
      <c r="E131" t="s">
        <v>34</v>
      </c>
      <c r="F131" t="s">
        <v>44</v>
      </c>
      <c r="G131" t="s">
        <v>28</v>
      </c>
      <c r="H131">
        <v>9.3000000000000007</v>
      </c>
      <c r="I131" t="s">
        <v>27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 t="s">
        <v>29</v>
      </c>
      <c r="R131" t="s">
        <v>139</v>
      </c>
      <c r="S131" t="s">
        <v>32</v>
      </c>
      <c r="T131" t="s">
        <v>538</v>
      </c>
      <c r="U131" t="s">
        <v>32</v>
      </c>
    </row>
    <row r="132" spans="1:21" x14ac:dyDescent="0.3">
      <c r="A132">
        <v>2025</v>
      </c>
      <c r="B132">
        <v>56</v>
      </c>
      <c r="C132" t="s">
        <v>59</v>
      </c>
      <c r="D132" t="s">
        <v>140</v>
      </c>
      <c r="E132" t="s">
        <v>34</v>
      </c>
      <c r="F132" t="s">
        <v>35</v>
      </c>
      <c r="G132" t="s">
        <v>28</v>
      </c>
      <c r="H132">
        <v>9.3000000000000007</v>
      </c>
      <c r="I132" t="s">
        <v>27</v>
      </c>
      <c r="J132">
        <v>0</v>
      </c>
      <c r="K132">
        <v>3</v>
      </c>
      <c r="L132">
        <v>0</v>
      </c>
      <c r="M132">
        <v>0</v>
      </c>
      <c r="N132">
        <v>0</v>
      </c>
      <c r="O132">
        <v>3</v>
      </c>
      <c r="P132" t="s">
        <v>29</v>
      </c>
      <c r="R132" t="s">
        <v>141</v>
      </c>
      <c r="S132" t="s">
        <v>32</v>
      </c>
      <c r="T132" t="s">
        <v>539</v>
      </c>
      <c r="U132" t="s">
        <v>32</v>
      </c>
    </row>
    <row r="133" spans="1:21" x14ac:dyDescent="0.3">
      <c r="A133">
        <v>2025</v>
      </c>
      <c r="B133">
        <v>57</v>
      </c>
      <c r="C133" t="s">
        <v>59</v>
      </c>
      <c r="D133" t="s">
        <v>142</v>
      </c>
      <c r="E133" t="s">
        <v>26</v>
      </c>
      <c r="F133" t="s">
        <v>27</v>
      </c>
      <c r="G133" t="s">
        <v>28</v>
      </c>
      <c r="H133">
        <v>9.3000000000000007</v>
      </c>
      <c r="I133" t="s">
        <v>27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3</v>
      </c>
      <c r="P133" t="s">
        <v>29</v>
      </c>
      <c r="Q133" t="s">
        <v>143</v>
      </c>
      <c r="R133" t="s">
        <v>141</v>
      </c>
      <c r="S133" t="s">
        <v>32</v>
      </c>
      <c r="T133" t="s">
        <v>540</v>
      </c>
      <c r="U133" t="s">
        <v>32</v>
      </c>
    </row>
    <row r="134" spans="1:21" x14ac:dyDescent="0.3">
      <c r="A134">
        <v>2025</v>
      </c>
      <c r="B134">
        <v>58</v>
      </c>
      <c r="C134" t="s">
        <v>59</v>
      </c>
      <c r="D134" t="s">
        <v>144</v>
      </c>
      <c r="E134" t="s">
        <v>26</v>
      </c>
      <c r="F134" t="s">
        <v>27</v>
      </c>
      <c r="G134" t="s">
        <v>28</v>
      </c>
      <c r="H134">
        <v>9.3000000000000007</v>
      </c>
      <c r="I134" t="s">
        <v>27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3</v>
      </c>
      <c r="P134" t="s">
        <v>29</v>
      </c>
      <c r="Q134" t="s">
        <v>145</v>
      </c>
      <c r="R134" t="s">
        <v>141</v>
      </c>
      <c r="S134" t="s">
        <v>32</v>
      </c>
      <c r="T134" t="s">
        <v>541</v>
      </c>
      <c r="U134" t="s">
        <v>32</v>
      </c>
    </row>
    <row r="135" spans="1:21" x14ac:dyDescent="0.3">
      <c r="A135">
        <v>2025</v>
      </c>
      <c r="B135">
        <v>59</v>
      </c>
      <c r="C135" t="s">
        <v>59</v>
      </c>
      <c r="D135" t="s">
        <v>146</v>
      </c>
      <c r="E135" t="s">
        <v>34</v>
      </c>
      <c r="F135" t="s">
        <v>35</v>
      </c>
      <c r="G135" t="s">
        <v>147</v>
      </c>
      <c r="H135">
        <v>9.3000000000000007</v>
      </c>
      <c r="I135" t="s">
        <v>27</v>
      </c>
      <c r="J135">
        <v>0</v>
      </c>
      <c r="K135">
        <v>3</v>
      </c>
      <c r="L135">
        <v>1</v>
      </c>
      <c r="M135">
        <v>0</v>
      </c>
      <c r="N135">
        <v>0</v>
      </c>
      <c r="O135">
        <v>4</v>
      </c>
      <c r="P135" t="s">
        <v>29</v>
      </c>
      <c r="R135" t="s">
        <v>148</v>
      </c>
      <c r="S135" t="s">
        <v>32</v>
      </c>
      <c r="T135" t="s">
        <v>542</v>
      </c>
      <c r="U135" t="s">
        <v>32</v>
      </c>
    </row>
    <row r="136" spans="1:21" x14ac:dyDescent="0.3">
      <c r="A136">
        <v>2025</v>
      </c>
      <c r="B136">
        <v>60</v>
      </c>
      <c r="C136" t="s">
        <v>59</v>
      </c>
      <c r="D136" t="s">
        <v>149</v>
      </c>
      <c r="E136" t="s">
        <v>26</v>
      </c>
      <c r="F136" t="s">
        <v>27</v>
      </c>
      <c r="G136" t="s">
        <v>28</v>
      </c>
      <c r="H136">
        <v>9.3000000000000007</v>
      </c>
      <c r="I136" t="s">
        <v>27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3</v>
      </c>
      <c r="P136" t="s">
        <v>29</v>
      </c>
      <c r="Q136" t="s">
        <v>143</v>
      </c>
      <c r="R136" t="s">
        <v>148</v>
      </c>
      <c r="S136" t="s">
        <v>32</v>
      </c>
      <c r="T136" t="s">
        <v>543</v>
      </c>
      <c r="U136" t="s">
        <v>32</v>
      </c>
    </row>
    <row r="137" spans="1:21" x14ac:dyDescent="0.3">
      <c r="A137">
        <v>2025</v>
      </c>
      <c r="B137">
        <v>61</v>
      </c>
      <c r="C137" t="s">
        <v>59</v>
      </c>
      <c r="D137" t="s">
        <v>150</v>
      </c>
      <c r="E137" t="s">
        <v>26</v>
      </c>
      <c r="F137" t="s">
        <v>27</v>
      </c>
      <c r="G137" t="s">
        <v>28</v>
      </c>
      <c r="H137">
        <v>9.3000000000000007</v>
      </c>
      <c r="I137" t="s">
        <v>27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3</v>
      </c>
      <c r="P137" t="s">
        <v>29</v>
      </c>
      <c r="Q137" t="s">
        <v>151</v>
      </c>
      <c r="R137" t="s">
        <v>148</v>
      </c>
      <c r="S137" t="s">
        <v>32</v>
      </c>
      <c r="T137" t="s">
        <v>544</v>
      </c>
      <c r="U137" t="s">
        <v>32</v>
      </c>
    </row>
    <row r="138" spans="1:21" x14ac:dyDescent="0.3">
      <c r="A138">
        <v>2025</v>
      </c>
      <c r="B138">
        <v>62</v>
      </c>
      <c r="C138" t="s">
        <v>59</v>
      </c>
      <c r="D138" t="s">
        <v>152</v>
      </c>
      <c r="E138" t="s">
        <v>34</v>
      </c>
      <c r="F138" t="s">
        <v>35</v>
      </c>
      <c r="G138" t="s">
        <v>28</v>
      </c>
      <c r="H138">
        <v>9.3000000000000007</v>
      </c>
      <c r="I138" t="s">
        <v>27</v>
      </c>
      <c r="J138">
        <v>0</v>
      </c>
      <c r="K138">
        <v>3</v>
      </c>
      <c r="L138">
        <v>0</v>
      </c>
      <c r="M138">
        <v>0</v>
      </c>
      <c r="N138">
        <v>0</v>
      </c>
      <c r="O138">
        <v>3</v>
      </c>
      <c r="P138" t="s">
        <v>29</v>
      </c>
      <c r="R138" t="s">
        <v>153</v>
      </c>
      <c r="S138" t="s">
        <v>32</v>
      </c>
      <c r="T138" t="s">
        <v>545</v>
      </c>
      <c r="U138" t="s">
        <v>32</v>
      </c>
    </row>
    <row r="139" spans="1:21" x14ac:dyDescent="0.3">
      <c r="A139">
        <v>2025</v>
      </c>
      <c r="B139">
        <v>63</v>
      </c>
      <c r="C139" t="s">
        <v>59</v>
      </c>
      <c r="D139" t="s">
        <v>154</v>
      </c>
      <c r="E139" t="s">
        <v>34</v>
      </c>
      <c r="F139" t="s">
        <v>35</v>
      </c>
      <c r="G139" t="s">
        <v>28</v>
      </c>
      <c r="H139">
        <v>9.3000000000000007</v>
      </c>
      <c r="I139" t="s">
        <v>27</v>
      </c>
      <c r="J139">
        <v>0</v>
      </c>
      <c r="K139">
        <v>3</v>
      </c>
      <c r="L139">
        <v>0</v>
      </c>
      <c r="M139">
        <v>0</v>
      </c>
      <c r="N139">
        <v>0</v>
      </c>
      <c r="O139">
        <v>3</v>
      </c>
      <c r="P139" t="s">
        <v>29</v>
      </c>
      <c r="R139" t="s">
        <v>155</v>
      </c>
      <c r="S139" t="s">
        <v>32</v>
      </c>
      <c r="T139" t="s">
        <v>546</v>
      </c>
      <c r="U139" t="s">
        <v>32</v>
      </c>
    </row>
    <row r="140" spans="1:21" x14ac:dyDescent="0.3">
      <c r="A140">
        <v>2025</v>
      </c>
      <c r="B140">
        <v>64</v>
      </c>
      <c r="C140" t="s">
        <v>59</v>
      </c>
      <c r="D140" t="s">
        <v>156</v>
      </c>
      <c r="E140" t="s">
        <v>26</v>
      </c>
      <c r="F140" t="s">
        <v>27</v>
      </c>
      <c r="G140" t="s">
        <v>28</v>
      </c>
      <c r="H140">
        <v>9.3000000000000007</v>
      </c>
      <c r="I140" t="s">
        <v>27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3</v>
      </c>
      <c r="P140" t="s">
        <v>29</v>
      </c>
      <c r="Q140" t="s">
        <v>151</v>
      </c>
      <c r="R140" t="s">
        <v>157</v>
      </c>
      <c r="S140" t="s">
        <v>32</v>
      </c>
      <c r="T140" t="s">
        <v>547</v>
      </c>
      <c r="U140" t="s">
        <v>32</v>
      </c>
    </row>
    <row r="141" spans="1:21" x14ac:dyDescent="0.3">
      <c r="A141">
        <v>2025</v>
      </c>
      <c r="B141">
        <v>65</v>
      </c>
      <c r="C141" t="s">
        <v>59</v>
      </c>
      <c r="D141" t="s">
        <v>158</v>
      </c>
      <c r="E141" t="s">
        <v>34</v>
      </c>
      <c r="F141" t="s">
        <v>35</v>
      </c>
      <c r="G141" t="s">
        <v>28</v>
      </c>
      <c r="H141">
        <v>9.3000000000000007</v>
      </c>
      <c r="I141" t="s">
        <v>27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3</v>
      </c>
      <c r="P141" t="s">
        <v>29</v>
      </c>
      <c r="R141" t="s">
        <v>159</v>
      </c>
      <c r="S141" t="s">
        <v>32</v>
      </c>
      <c r="T141" t="s">
        <v>548</v>
      </c>
      <c r="U141" t="s">
        <v>32</v>
      </c>
    </row>
    <row r="142" spans="1:21" x14ac:dyDescent="0.3">
      <c r="A142">
        <v>2025</v>
      </c>
      <c r="B142">
        <v>66</v>
      </c>
      <c r="C142" t="s">
        <v>160</v>
      </c>
      <c r="D142" t="s">
        <v>161</v>
      </c>
      <c r="E142" t="s">
        <v>34</v>
      </c>
      <c r="F142" t="s">
        <v>35</v>
      </c>
      <c r="G142" t="s">
        <v>28</v>
      </c>
      <c r="H142">
        <v>9.3000000000000007</v>
      </c>
      <c r="I142" t="s">
        <v>27</v>
      </c>
      <c r="J142">
        <v>0</v>
      </c>
      <c r="K142">
        <v>3</v>
      </c>
      <c r="L142">
        <v>0</v>
      </c>
      <c r="M142">
        <v>0</v>
      </c>
      <c r="N142">
        <v>0</v>
      </c>
      <c r="O142">
        <v>3</v>
      </c>
      <c r="P142" t="s">
        <v>29</v>
      </c>
      <c r="R142" t="s">
        <v>162</v>
      </c>
      <c r="S142" t="s">
        <v>32</v>
      </c>
      <c r="T142" t="s">
        <v>549</v>
      </c>
      <c r="U142" t="s">
        <v>32</v>
      </c>
    </row>
    <row r="143" spans="1:21" x14ac:dyDescent="0.3">
      <c r="A143">
        <v>2025</v>
      </c>
      <c r="B143">
        <v>67</v>
      </c>
      <c r="C143" t="s">
        <v>160</v>
      </c>
      <c r="D143" t="s">
        <v>163</v>
      </c>
      <c r="E143" t="s">
        <v>34</v>
      </c>
      <c r="F143" t="s">
        <v>27</v>
      </c>
      <c r="G143" t="s">
        <v>147</v>
      </c>
      <c r="H143">
        <v>9.3000000000000007</v>
      </c>
      <c r="I143" t="s">
        <v>27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 t="s">
        <v>29</v>
      </c>
      <c r="R143" t="s">
        <v>164</v>
      </c>
      <c r="S143" t="s">
        <v>32</v>
      </c>
      <c r="T143" t="s">
        <v>550</v>
      </c>
      <c r="U143" t="s">
        <v>32</v>
      </c>
    </row>
    <row r="144" spans="1:21" x14ac:dyDescent="0.3">
      <c r="A144">
        <v>2025</v>
      </c>
      <c r="B144">
        <v>68</v>
      </c>
      <c r="C144" t="s">
        <v>160</v>
      </c>
      <c r="D144" t="s">
        <v>165</v>
      </c>
      <c r="E144" t="s">
        <v>26</v>
      </c>
      <c r="F144" t="s">
        <v>27</v>
      </c>
      <c r="G144" t="s">
        <v>28</v>
      </c>
      <c r="H144">
        <v>9.3000000000000007</v>
      </c>
      <c r="I144" t="s">
        <v>27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3</v>
      </c>
      <c r="P144" t="s">
        <v>29</v>
      </c>
      <c r="Q144" t="s">
        <v>151</v>
      </c>
      <c r="R144" t="s">
        <v>164</v>
      </c>
      <c r="S144" t="s">
        <v>32</v>
      </c>
      <c r="T144" t="s">
        <v>550</v>
      </c>
      <c r="U144" t="s">
        <v>32</v>
      </c>
    </row>
    <row r="145" spans="1:21" x14ac:dyDescent="0.3">
      <c r="A145">
        <v>2025</v>
      </c>
      <c r="B145">
        <v>69</v>
      </c>
      <c r="C145" t="s">
        <v>160</v>
      </c>
      <c r="D145" t="s">
        <v>166</v>
      </c>
      <c r="E145" t="s">
        <v>26</v>
      </c>
      <c r="F145" t="s">
        <v>27</v>
      </c>
      <c r="G145" t="s">
        <v>28</v>
      </c>
      <c r="H145">
        <v>9.3000000000000007</v>
      </c>
      <c r="I145" t="s">
        <v>27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3</v>
      </c>
      <c r="P145" t="s">
        <v>29</v>
      </c>
      <c r="Q145" t="s">
        <v>143</v>
      </c>
      <c r="R145" t="s">
        <v>164</v>
      </c>
      <c r="S145" t="s">
        <v>32</v>
      </c>
      <c r="T145" t="s">
        <v>551</v>
      </c>
      <c r="U145" t="s">
        <v>32</v>
      </c>
    </row>
    <row r="146" spans="1:21" x14ac:dyDescent="0.3">
      <c r="A146">
        <v>2025</v>
      </c>
      <c r="B146">
        <v>70</v>
      </c>
      <c r="C146" t="s">
        <v>160</v>
      </c>
      <c r="D146" t="s">
        <v>167</v>
      </c>
      <c r="E146" t="s">
        <v>34</v>
      </c>
      <c r="F146" t="s">
        <v>35</v>
      </c>
      <c r="G146" t="s">
        <v>28</v>
      </c>
      <c r="H146">
        <v>9.3000000000000007</v>
      </c>
      <c r="I146" t="s">
        <v>27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3</v>
      </c>
      <c r="P146" t="s">
        <v>29</v>
      </c>
      <c r="R146" t="s">
        <v>164</v>
      </c>
      <c r="S146" t="s">
        <v>32</v>
      </c>
      <c r="T146" t="s">
        <v>552</v>
      </c>
      <c r="U146" t="s">
        <v>32</v>
      </c>
    </row>
    <row r="147" spans="1:21" x14ac:dyDescent="0.3">
      <c r="A147">
        <v>2025</v>
      </c>
      <c r="B147">
        <v>71</v>
      </c>
      <c r="C147" t="s">
        <v>160</v>
      </c>
      <c r="D147" t="s">
        <v>168</v>
      </c>
      <c r="E147" t="s">
        <v>34</v>
      </c>
      <c r="F147" t="s">
        <v>35</v>
      </c>
      <c r="G147" t="s">
        <v>28</v>
      </c>
      <c r="H147">
        <v>9.3000000000000007</v>
      </c>
      <c r="I147" t="s">
        <v>27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3</v>
      </c>
      <c r="P147" t="s">
        <v>29</v>
      </c>
      <c r="R147" t="s">
        <v>169</v>
      </c>
      <c r="S147" t="s">
        <v>32</v>
      </c>
      <c r="T147" t="s">
        <v>553</v>
      </c>
      <c r="U147" t="s">
        <v>32</v>
      </c>
    </row>
    <row r="148" spans="1:21" x14ac:dyDescent="0.3">
      <c r="A148">
        <v>2025</v>
      </c>
      <c r="B148">
        <v>72</v>
      </c>
      <c r="C148" t="s">
        <v>160</v>
      </c>
      <c r="D148" t="s">
        <v>170</v>
      </c>
      <c r="E148" t="s">
        <v>34</v>
      </c>
      <c r="F148" t="s">
        <v>35</v>
      </c>
      <c r="G148" t="s">
        <v>28</v>
      </c>
      <c r="H148">
        <v>9.3000000000000007</v>
      </c>
      <c r="I148" t="s">
        <v>27</v>
      </c>
      <c r="J148">
        <v>0</v>
      </c>
      <c r="K148">
        <v>3</v>
      </c>
      <c r="L148">
        <v>0</v>
      </c>
      <c r="M148">
        <v>0</v>
      </c>
      <c r="N148">
        <v>0</v>
      </c>
      <c r="O148">
        <v>3</v>
      </c>
      <c r="P148" t="s">
        <v>29</v>
      </c>
      <c r="Q148" t="s">
        <v>36</v>
      </c>
      <c r="R148" t="s">
        <v>171</v>
      </c>
      <c r="S148" t="s">
        <v>32</v>
      </c>
      <c r="T148" t="s">
        <v>554</v>
      </c>
      <c r="U148" t="s">
        <v>32</v>
      </c>
    </row>
    <row r="149" spans="1:21" x14ac:dyDescent="0.3">
      <c r="A149">
        <v>2025</v>
      </c>
      <c r="B149">
        <v>73</v>
      </c>
      <c r="C149" t="s">
        <v>160</v>
      </c>
      <c r="D149" t="s">
        <v>172</v>
      </c>
      <c r="E149" t="s">
        <v>34</v>
      </c>
      <c r="F149" t="s">
        <v>35</v>
      </c>
      <c r="G149" t="s">
        <v>28</v>
      </c>
      <c r="H149">
        <v>9.3000000000000007</v>
      </c>
      <c r="I149" t="s">
        <v>27</v>
      </c>
      <c r="J149">
        <v>0</v>
      </c>
      <c r="K149">
        <v>3</v>
      </c>
      <c r="L149">
        <v>0</v>
      </c>
      <c r="M149">
        <v>0</v>
      </c>
      <c r="N149">
        <v>0</v>
      </c>
      <c r="O149">
        <v>3</v>
      </c>
      <c r="P149" t="s">
        <v>29</v>
      </c>
      <c r="R149" t="s">
        <v>173</v>
      </c>
      <c r="S149" t="s">
        <v>32</v>
      </c>
      <c r="T149" t="s">
        <v>555</v>
      </c>
      <c r="U149" t="s">
        <v>32</v>
      </c>
    </row>
    <row r="150" spans="1:21" x14ac:dyDescent="0.3">
      <c r="A150">
        <v>2025</v>
      </c>
      <c r="B150">
        <v>74</v>
      </c>
      <c r="C150" t="s">
        <v>160</v>
      </c>
      <c r="D150" t="s">
        <v>174</v>
      </c>
      <c r="E150" t="s">
        <v>34</v>
      </c>
      <c r="F150" t="s">
        <v>35</v>
      </c>
      <c r="G150" t="s">
        <v>28</v>
      </c>
      <c r="H150">
        <v>9.3000000000000007</v>
      </c>
      <c r="I150" t="s">
        <v>27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3</v>
      </c>
      <c r="P150" t="s">
        <v>29</v>
      </c>
      <c r="R150" t="s">
        <v>175</v>
      </c>
      <c r="S150" t="s">
        <v>32</v>
      </c>
      <c r="T150" t="s">
        <v>556</v>
      </c>
      <c r="U150" t="s">
        <v>32</v>
      </c>
    </row>
    <row r="151" spans="1:21" x14ac:dyDescent="0.3">
      <c r="A151">
        <v>2025</v>
      </c>
      <c r="B151">
        <v>75</v>
      </c>
      <c r="C151" t="s">
        <v>160</v>
      </c>
      <c r="D151" t="s">
        <v>176</v>
      </c>
      <c r="E151" t="s">
        <v>34</v>
      </c>
      <c r="F151" t="s">
        <v>35</v>
      </c>
      <c r="G151" t="s">
        <v>28</v>
      </c>
      <c r="H151">
        <v>9.3000000000000007</v>
      </c>
      <c r="I151" t="s">
        <v>27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3</v>
      </c>
      <c r="P151" t="s">
        <v>29</v>
      </c>
      <c r="R151" t="s">
        <v>177</v>
      </c>
      <c r="S151" t="s">
        <v>32</v>
      </c>
      <c r="T151" t="s">
        <v>557</v>
      </c>
      <c r="U151" t="s">
        <v>32</v>
      </c>
    </row>
    <row r="152" spans="1:21" x14ac:dyDescent="0.3">
      <c r="A152">
        <v>2025</v>
      </c>
      <c r="B152">
        <v>76</v>
      </c>
      <c r="C152" t="s">
        <v>160</v>
      </c>
      <c r="D152" t="s">
        <v>178</v>
      </c>
      <c r="E152" t="s">
        <v>26</v>
      </c>
      <c r="F152" t="s">
        <v>27</v>
      </c>
      <c r="G152" t="s">
        <v>28</v>
      </c>
      <c r="H152">
        <v>9.3000000000000007</v>
      </c>
      <c r="I152" t="s">
        <v>27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3</v>
      </c>
      <c r="P152" t="s">
        <v>29</v>
      </c>
      <c r="Q152" t="s">
        <v>481</v>
      </c>
      <c r="R152" t="s">
        <v>179</v>
      </c>
      <c r="S152" t="s">
        <v>32</v>
      </c>
      <c r="T152" t="s">
        <v>558</v>
      </c>
      <c r="U152" t="s">
        <v>32</v>
      </c>
    </row>
    <row r="153" spans="1:21" x14ac:dyDescent="0.3">
      <c r="A153">
        <v>2025</v>
      </c>
      <c r="B153">
        <v>77</v>
      </c>
      <c r="C153" t="s">
        <v>160</v>
      </c>
      <c r="D153" t="s">
        <v>180</v>
      </c>
      <c r="E153" t="s">
        <v>34</v>
      </c>
      <c r="F153" t="s">
        <v>35</v>
      </c>
      <c r="G153" t="s">
        <v>28</v>
      </c>
      <c r="H153">
        <v>9.3000000000000007</v>
      </c>
      <c r="I153" t="s">
        <v>27</v>
      </c>
      <c r="J153">
        <v>0</v>
      </c>
      <c r="K153">
        <v>3</v>
      </c>
      <c r="L153">
        <v>0</v>
      </c>
      <c r="M153">
        <v>0</v>
      </c>
      <c r="N153">
        <v>0</v>
      </c>
      <c r="O153">
        <v>3</v>
      </c>
      <c r="P153" t="s">
        <v>29</v>
      </c>
      <c r="Q153" t="s">
        <v>482</v>
      </c>
      <c r="R153" t="s">
        <v>181</v>
      </c>
      <c r="S153" t="s">
        <v>32</v>
      </c>
      <c r="T153" t="s">
        <v>559</v>
      </c>
      <c r="U153" t="s">
        <v>32</v>
      </c>
    </row>
    <row r="154" spans="1:21" x14ac:dyDescent="0.3">
      <c r="A154">
        <v>2025</v>
      </c>
      <c r="B154">
        <v>78</v>
      </c>
      <c r="C154" t="s">
        <v>160</v>
      </c>
      <c r="D154" t="s">
        <v>182</v>
      </c>
      <c r="E154" t="s">
        <v>34</v>
      </c>
      <c r="F154" t="s">
        <v>35</v>
      </c>
      <c r="G154" t="s">
        <v>28</v>
      </c>
      <c r="H154">
        <v>9.3000000000000007</v>
      </c>
      <c r="I154" t="s">
        <v>27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3</v>
      </c>
      <c r="P154" t="s">
        <v>29</v>
      </c>
      <c r="Q154" t="s">
        <v>483</v>
      </c>
      <c r="R154" t="s">
        <v>183</v>
      </c>
      <c r="S154" t="s">
        <v>32</v>
      </c>
      <c r="T154" t="s">
        <v>560</v>
      </c>
      <c r="U154" t="s">
        <v>32</v>
      </c>
    </row>
    <row r="155" spans="1:21" x14ac:dyDescent="0.3">
      <c r="A155">
        <v>2025</v>
      </c>
      <c r="B155">
        <v>79</v>
      </c>
      <c r="C155" t="s">
        <v>160</v>
      </c>
      <c r="D155" t="s">
        <v>184</v>
      </c>
      <c r="E155" t="s">
        <v>34</v>
      </c>
      <c r="F155" t="s">
        <v>35</v>
      </c>
      <c r="G155" t="s">
        <v>28</v>
      </c>
      <c r="H155">
        <v>9.3000000000000007</v>
      </c>
      <c r="I155" t="s">
        <v>27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3</v>
      </c>
      <c r="P155" t="s">
        <v>29</v>
      </c>
      <c r="Q155" t="s">
        <v>36</v>
      </c>
      <c r="R155" t="s">
        <v>185</v>
      </c>
      <c r="S155" t="s">
        <v>32</v>
      </c>
      <c r="T155" t="s">
        <v>561</v>
      </c>
      <c r="U155" t="s">
        <v>32</v>
      </c>
    </row>
    <row r="156" spans="1:21" x14ac:dyDescent="0.3">
      <c r="A156">
        <v>2025</v>
      </c>
      <c r="B156">
        <v>80</v>
      </c>
      <c r="C156" t="s">
        <v>160</v>
      </c>
      <c r="D156" t="s">
        <v>186</v>
      </c>
      <c r="E156" t="s">
        <v>34</v>
      </c>
      <c r="F156" t="s">
        <v>35</v>
      </c>
      <c r="G156" t="s">
        <v>147</v>
      </c>
      <c r="H156">
        <v>9.3000000000000007</v>
      </c>
      <c r="I156" t="s">
        <v>27</v>
      </c>
      <c r="J156">
        <v>0</v>
      </c>
      <c r="K156">
        <v>3</v>
      </c>
      <c r="L156">
        <v>1</v>
      </c>
      <c r="M156">
        <v>0</v>
      </c>
      <c r="N156">
        <v>0</v>
      </c>
      <c r="O156">
        <v>4</v>
      </c>
      <c r="P156" t="s">
        <v>29</v>
      </c>
      <c r="R156" t="s">
        <v>187</v>
      </c>
      <c r="S156" t="s">
        <v>32</v>
      </c>
      <c r="T156" t="s">
        <v>562</v>
      </c>
      <c r="U156" t="s">
        <v>32</v>
      </c>
    </row>
    <row r="157" spans="1:21" x14ac:dyDescent="0.3">
      <c r="A157">
        <v>2025</v>
      </c>
      <c r="B157">
        <v>81</v>
      </c>
      <c r="C157" t="s">
        <v>160</v>
      </c>
      <c r="D157" t="s">
        <v>188</v>
      </c>
      <c r="E157" t="s">
        <v>34</v>
      </c>
      <c r="F157" t="s">
        <v>27</v>
      </c>
      <c r="G157" t="s">
        <v>28</v>
      </c>
      <c r="H157">
        <v>9.3000000000000007</v>
      </c>
      <c r="I157" t="s">
        <v>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29</v>
      </c>
      <c r="Q157" t="s">
        <v>41</v>
      </c>
      <c r="R157" t="s">
        <v>189</v>
      </c>
      <c r="S157" t="s">
        <v>32</v>
      </c>
      <c r="T157" t="s">
        <v>563</v>
      </c>
      <c r="U157" t="s">
        <v>32</v>
      </c>
    </row>
    <row r="158" spans="1:21" x14ac:dyDescent="0.3">
      <c r="A158">
        <v>2025</v>
      </c>
      <c r="B158">
        <v>82</v>
      </c>
      <c r="C158" t="s">
        <v>160</v>
      </c>
      <c r="D158" t="s">
        <v>190</v>
      </c>
      <c r="E158" t="s">
        <v>34</v>
      </c>
      <c r="F158" t="s">
        <v>35</v>
      </c>
      <c r="G158" t="s">
        <v>28</v>
      </c>
      <c r="H158">
        <v>9.3000000000000007</v>
      </c>
      <c r="I158" t="s">
        <v>27</v>
      </c>
      <c r="J158">
        <v>0</v>
      </c>
      <c r="K158">
        <v>3</v>
      </c>
      <c r="L158">
        <v>0</v>
      </c>
      <c r="M158">
        <v>0</v>
      </c>
      <c r="N158">
        <v>0</v>
      </c>
      <c r="O158">
        <v>3</v>
      </c>
      <c r="P158" t="s">
        <v>29</v>
      </c>
      <c r="R158" t="s">
        <v>191</v>
      </c>
      <c r="S158" t="s">
        <v>32</v>
      </c>
      <c r="T158" t="s">
        <v>564</v>
      </c>
      <c r="U158" t="s">
        <v>32</v>
      </c>
    </row>
    <row r="159" spans="1:21" x14ac:dyDescent="0.3">
      <c r="A159">
        <v>2025</v>
      </c>
      <c r="B159">
        <v>83</v>
      </c>
      <c r="C159" t="s">
        <v>160</v>
      </c>
      <c r="D159" t="s">
        <v>192</v>
      </c>
      <c r="E159" t="s">
        <v>34</v>
      </c>
      <c r="F159" t="s">
        <v>35</v>
      </c>
      <c r="G159" t="s">
        <v>28</v>
      </c>
      <c r="H159">
        <v>9.3000000000000007</v>
      </c>
      <c r="I159" t="s">
        <v>27</v>
      </c>
      <c r="J159">
        <v>0</v>
      </c>
      <c r="K159">
        <v>3</v>
      </c>
      <c r="L159">
        <v>0</v>
      </c>
      <c r="M159">
        <v>0</v>
      </c>
      <c r="N159">
        <v>0</v>
      </c>
      <c r="O159">
        <v>3</v>
      </c>
      <c r="P159" t="s">
        <v>29</v>
      </c>
      <c r="R159" t="s">
        <v>193</v>
      </c>
      <c r="S159" t="s">
        <v>32</v>
      </c>
      <c r="T159" t="s">
        <v>565</v>
      </c>
      <c r="U159" t="s">
        <v>32</v>
      </c>
    </row>
    <row r="160" spans="1:21" x14ac:dyDescent="0.3">
      <c r="A160">
        <v>2025</v>
      </c>
      <c r="B160">
        <v>84</v>
      </c>
      <c r="C160" t="s">
        <v>160</v>
      </c>
      <c r="D160" t="s">
        <v>194</v>
      </c>
      <c r="E160" t="s">
        <v>34</v>
      </c>
      <c r="F160" t="s">
        <v>35</v>
      </c>
      <c r="G160" t="s">
        <v>28</v>
      </c>
      <c r="H160">
        <v>9.3000000000000007</v>
      </c>
      <c r="I160" t="s">
        <v>27</v>
      </c>
      <c r="J160">
        <v>0</v>
      </c>
      <c r="K160">
        <v>3</v>
      </c>
      <c r="L160">
        <v>0</v>
      </c>
      <c r="M160">
        <v>0</v>
      </c>
      <c r="N160">
        <v>0</v>
      </c>
      <c r="O160">
        <v>3</v>
      </c>
      <c r="P160" t="s">
        <v>29</v>
      </c>
      <c r="R160" t="s">
        <v>195</v>
      </c>
      <c r="S160" t="s">
        <v>32</v>
      </c>
      <c r="T160" t="s">
        <v>566</v>
      </c>
      <c r="U160" t="s">
        <v>32</v>
      </c>
    </row>
    <row r="161" spans="1:21" x14ac:dyDescent="0.3">
      <c r="A161">
        <v>2025</v>
      </c>
      <c r="B161">
        <v>85</v>
      </c>
      <c r="C161" t="s">
        <v>160</v>
      </c>
      <c r="D161" t="s">
        <v>196</v>
      </c>
      <c r="E161" t="s">
        <v>34</v>
      </c>
      <c r="F161" t="s">
        <v>35</v>
      </c>
      <c r="G161" t="s">
        <v>28</v>
      </c>
      <c r="H161">
        <v>9.3000000000000007</v>
      </c>
      <c r="I161" t="s">
        <v>27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3</v>
      </c>
      <c r="P161" t="s">
        <v>29</v>
      </c>
      <c r="R161" t="s">
        <v>197</v>
      </c>
      <c r="S161" t="s">
        <v>32</v>
      </c>
      <c r="T161" t="s">
        <v>567</v>
      </c>
      <c r="U161" t="s">
        <v>32</v>
      </c>
    </row>
    <row r="162" spans="1:21" x14ac:dyDescent="0.3">
      <c r="A162">
        <v>2025</v>
      </c>
      <c r="B162">
        <v>86</v>
      </c>
      <c r="C162" t="s">
        <v>160</v>
      </c>
      <c r="D162" t="s">
        <v>198</v>
      </c>
      <c r="E162" t="s">
        <v>26</v>
      </c>
      <c r="F162" t="s">
        <v>27</v>
      </c>
      <c r="G162" t="s">
        <v>28</v>
      </c>
      <c r="H162">
        <v>9.3000000000000007</v>
      </c>
      <c r="I162" t="s">
        <v>27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3</v>
      </c>
      <c r="P162" t="s">
        <v>29</v>
      </c>
      <c r="R162" t="s">
        <v>199</v>
      </c>
      <c r="S162" t="s">
        <v>32</v>
      </c>
      <c r="T162" t="s">
        <v>568</v>
      </c>
      <c r="U162" t="s">
        <v>32</v>
      </c>
    </row>
    <row r="163" spans="1:21" x14ac:dyDescent="0.3">
      <c r="A163">
        <v>2025</v>
      </c>
      <c r="B163">
        <v>87</v>
      </c>
      <c r="C163" t="s">
        <v>160</v>
      </c>
      <c r="D163" t="s">
        <v>200</v>
      </c>
      <c r="E163" t="s">
        <v>34</v>
      </c>
      <c r="F163" t="s">
        <v>35</v>
      </c>
      <c r="G163" t="s">
        <v>28</v>
      </c>
      <c r="H163">
        <v>9.3000000000000007</v>
      </c>
      <c r="I163" t="s">
        <v>27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3</v>
      </c>
      <c r="P163" t="s">
        <v>29</v>
      </c>
      <c r="R163" t="s">
        <v>199</v>
      </c>
      <c r="S163" t="s">
        <v>32</v>
      </c>
      <c r="T163" t="s">
        <v>569</v>
      </c>
      <c r="U163" t="s">
        <v>32</v>
      </c>
    </row>
    <row r="164" spans="1:21" x14ac:dyDescent="0.3">
      <c r="A164">
        <v>2025</v>
      </c>
      <c r="B164">
        <v>88</v>
      </c>
      <c r="C164" t="s">
        <v>160</v>
      </c>
      <c r="D164" t="s">
        <v>201</v>
      </c>
      <c r="E164" t="s">
        <v>34</v>
      </c>
      <c r="F164" t="s">
        <v>35</v>
      </c>
      <c r="G164" t="s">
        <v>28</v>
      </c>
      <c r="H164">
        <v>9.3000000000000007</v>
      </c>
      <c r="I164" t="s">
        <v>27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3</v>
      </c>
      <c r="P164" t="s">
        <v>29</v>
      </c>
      <c r="R164" t="s">
        <v>202</v>
      </c>
      <c r="S164" t="s">
        <v>32</v>
      </c>
      <c r="T164" t="s">
        <v>570</v>
      </c>
      <c r="U164" t="s">
        <v>32</v>
      </c>
    </row>
    <row r="165" spans="1:21" x14ac:dyDescent="0.3">
      <c r="A165">
        <v>2025</v>
      </c>
      <c r="B165">
        <v>89</v>
      </c>
      <c r="C165" t="s">
        <v>160</v>
      </c>
      <c r="D165" t="s">
        <v>203</v>
      </c>
      <c r="E165" t="s">
        <v>34</v>
      </c>
      <c r="F165" t="s">
        <v>35</v>
      </c>
      <c r="G165" t="s">
        <v>28</v>
      </c>
      <c r="H165">
        <v>9.3000000000000007</v>
      </c>
      <c r="I165" t="s">
        <v>27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3</v>
      </c>
      <c r="P165" t="s">
        <v>29</v>
      </c>
      <c r="R165" t="s">
        <v>204</v>
      </c>
      <c r="S165" t="s">
        <v>32</v>
      </c>
      <c r="T165" t="s">
        <v>571</v>
      </c>
      <c r="U165" t="s">
        <v>32</v>
      </c>
    </row>
    <row r="166" spans="1:21" x14ac:dyDescent="0.3">
      <c r="A166">
        <v>2025</v>
      </c>
      <c r="B166">
        <v>90</v>
      </c>
      <c r="C166" t="s">
        <v>160</v>
      </c>
      <c r="D166" t="s">
        <v>205</v>
      </c>
      <c r="E166" t="s">
        <v>34</v>
      </c>
      <c r="F166" t="s">
        <v>35</v>
      </c>
      <c r="G166" t="s">
        <v>28</v>
      </c>
      <c r="H166">
        <v>9.3000000000000007</v>
      </c>
      <c r="I166" t="s">
        <v>27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3</v>
      </c>
      <c r="P166" t="s">
        <v>29</v>
      </c>
      <c r="R166" t="s">
        <v>206</v>
      </c>
      <c r="S166" t="s">
        <v>32</v>
      </c>
      <c r="T166" t="s">
        <v>572</v>
      </c>
      <c r="U166" t="s">
        <v>32</v>
      </c>
    </row>
    <row r="167" spans="1:21" x14ac:dyDescent="0.3">
      <c r="A167">
        <v>2025</v>
      </c>
      <c r="B167">
        <v>91</v>
      </c>
      <c r="C167" t="s">
        <v>160</v>
      </c>
      <c r="D167" t="s">
        <v>207</v>
      </c>
      <c r="E167" t="s">
        <v>34</v>
      </c>
      <c r="F167" t="s">
        <v>35</v>
      </c>
      <c r="G167" t="s">
        <v>28</v>
      </c>
      <c r="H167">
        <v>9.3000000000000007</v>
      </c>
      <c r="I167" t="s">
        <v>27</v>
      </c>
      <c r="J167">
        <v>0</v>
      </c>
      <c r="K167">
        <v>3</v>
      </c>
      <c r="L167">
        <v>0</v>
      </c>
      <c r="M167">
        <v>0</v>
      </c>
      <c r="N167">
        <v>0</v>
      </c>
      <c r="O167">
        <v>3</v>
      </c>
      <c r="P167" t="s">
        <v>29</v>
      </c>
      <c r="R167" t="s">
        <v>208</v>
      </c>
      <c r="S167" t="s">
        <v>32</v>
      </c>
      <c r="T167" t="s">
        <v>573</v>
      </c>
      <c r="U167" t="s">
        <v>32</v>
      </c>
    </row>
    <row r="168" spans="1:21" x14ac:dyDescent="0.3">
      <c r="A168">
        <v>2025</v>
      </c>
      <c r="B168">
        <v>92</v>
      </c>
      <c r="C168" t="s">
        <v>160</v>
      </c>
      <c r="D168" t="s">
        <v>209</v>
      </c>
      <c r="E168" t="s">
        <v>34</v>
      </c>
      <c r="F168" t="s">
        <v>35</v>
      </c>
      <c r="G168" t="s">
        <v>28</v>
      </c>
      <c r="H168">
        <v>9.3000000000000007</v>
      </c>
      <c r="I168" t="s">
        <v>27</v>
      </c>
      <c r="J168">
        <v>0</v>
      </c>
      <c r="K168">
        <v>3</v>
      </c>
      <c r="L168">
        <v>0</v>
      </c>
      <c r="M168">
        <v>0</v>
      </c>
      <c r="N168">
        <v>0</v>
      </c>
      <c r="O168">
        <v>3</v>
      </c>
      <c r="P168" t="s">
        <v>29</v>
      </c>
      <c r="R168" t="s">
        <v>210</v>
      </c>
      <c r="S168" t="s">
        <v>32</v>
      </c>
      <c r="T168" t="s">
        <v>574</v>
      </c>
      <c r="U168" t="s">
        <v>32</v>
      </c>
    </row>
    <row r="169" spans="1:21" x14ac:dyDescent="0.3">
      <c r="A169">
        <v>2025</v>
      </c>
      <c r="B169">
        <v>93</v>
      </c>
      <c r="C169" t="s">
        <v>160</v>
      </c>
      <c r="D169" t="s">
        <v>211</v>
      </c>
      <c r="E169" t="s">
        <v>34</v>
      </c>
      <c r="F169" t="s">
        <v>35</v>
      </c>
      <c r="G169" t="s">
        <v>28</v>
      </c>
      <c r="H169">
        <v>9.3000000000000007</v>
      </c>
      <c r="I169" t="s">
        <v>27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3</v>
      </c>
      <c r="P169" t="s">
        <v>29</v>
      </c>
      <c r="Q169" t="s">
        <v>36</v>
      </c>
      <c r="R169" t="s">
        <v>212</v>
      </c>
      <c r="S169" t="s">
        <v>32</v>
      </c>
      <c r="T169" t="s">
        <v>575</v>
      </c>
      <c r="U169" t="s">
        <v>32</v>
      </c>
    </row>
    <row r="170" spans="1:21" x14ac:dyDescent="0.3">
      <c r="A170">
        <v>2025</v>
      </c>
      <c r="B170">
        <v>94</v>
      </c>
      <c r="C170" t="s">
        <v>160</v>
      </c>
      <c r="D170" t="s">
        <v>213</v>
      </c>
      <c r="E170" t="s">
        <v>34</v>
      </c>
      <c r="F170" t="s">
        <v>35</v>
      </c>
      <c r="G170" t="s">
        <v>28</v>
      </c>
      <c r="H170">
        <v>9.3000000000000007</v>
      </c>
      <c r="I170" t="s">
        <v>27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3</v>
      </c>
      <c r="P170" t="s">
        <v>29</v>
      </c>
      <c r="R170" t="s">
        <v>484</v>
      </c>
      <c r="S170" t="s">
        <v>32</v>
      </c>
      <c r="T170" t="s">
        <v>576</v>
      </c>
      <c r="U170" t="s">
        <v>32</v>
      </c>
    </row>
    <row r="171" spans="1:21" x14ac:dyDescent="0.3">
      <c r="A171">
        <v>2025</v>
      </c>
      <c r="B171">
        <v>95</v>
      </c>
      <c r="C171" t="s">
        <v>160</v>
      </c>
      <c r="D171" t="s">
        <v>214</v>
      </c>
      <c r="E171" t="s">
        <v>34</v>
      </c>
      <c r="F171" t="s">
        <v>35</v>
      </c>
      <c r="G171" t="s">
        <v>28</v>
      </c>
      <c r="H171">
        <v>9.3000000000000007</v>
      </c>
      <c r="I171" t="s">
        <v>27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3</v>
      </c>
      <c r="P171" t="s">
        <v>29</v>
      </c>
      <c r="Q171" t="s">
        <v>36</v>
      </c>
      <c r="R171" t="s">
        <v>215</v>
      </c>
      <c r="S171" t="s">
        <v>32</v>
      </c>
      <c r="T171" t="s">
        <v>577</v>
      </c>
      <c r="U171" t="s">
        <v>32</v>
      </c>
    </row>
    <row r="172" spans="1:21" x14ac:dyDescent="0.3">
      <c r="A172">
        <v>2025</v>
      </c>
      <c r="B172">
        <v>96</v>
      </c>
      <c r="C172" t="s">
        <v>160</v>
      </c>
      <c r="D172" t="s">
        <v>216</v>
      </c>
      <c r="E172" t="s">
        <v>34</v>
      </c>
      <c r="F172" t="s">
        <v>35</v>
      </c>
      <c r="G172" t="s">
        <v>28</v>
      </c>
      <c r="H172">
        <v>9.3000000000000007</v>
      </c>
      <c r="I172" t="s">
        <v>27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3</v>
      </c>
      <c r="P172" t="s">
        <v>29</v>
      </c>
      <c r="Q172" t="s">
        <v>36</v>
      </c>
      <c r="R172" t="s">
        <v>217</v>
      </c>
      <c r="S172" t="s">
        <v>32</v>
      </c>
      <c r="T172" t="s">
        <v>578</v>
      </c>
      <c r="U172" t="s">
        <v>32</v>
      </c>
    </row>
    <row r="173" spans="1:21" x14ac:dyDescent="0.3">
      <c r="A173">
        <v>2025</v>
      </c>
      <c r="B173">
        <v>97</v>
      </c>
      <c r="C173" t="s">
        <v>218</v>
      </c>
      <c r="D173" t="s">
        <v>219</v>
      </c>
      <c r="E173" t="s">
        <v>34</v>
      </c>
      <c r="F173" t="s">
        <v>27</v>
      </c>
      <c r="G173" t="s">
        <v>28</v>
      </c>
      <c r="H173">
        <v>9.3000000000000007</v>
      </c>
      <c r="I173" t="s">
        <v>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29</v>
      </c>
      <c r="Q173" t="s">
        <v>75</v>
      </c>
      <c r="R173" t="s">
        <v>220</v>
      </c>
      <c r="S173" t="s">
        <v>32</v>
      </c>
      <c r="T173" t="s">
        <v>579</v>
      </c>
      <c r="U173" t="s">
        <v>32</v>
      </c>
    </row>
    <row r="174" spans="1:21" x14ac:dyDescent="0.3">
      <c r="A174">
        <v>2025</v>
      </c>
      <c r="B174">
        <v>98</v>
      </c>
      <c r="C174" t="s">
        <v>218</v>
      </c>
      <c r="D174" t="s">
        <v>221</v>
      </c>
      <c r="E174" t="s">
        <v>34</v>
      </c>
      <c r="F174" t="s">
        <v>35</v>
      </c>
      <c r="G174" t="s">
        <v>28</v>
      </c>
      <c r="H174">
        <v>9.3000000000000007</v>
      </c>
      <c r="I174" t="s">
        <v>27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3</v>
      </c>
      <c r="P174" t="s">
        <v>29</v>
      </c>
      <c r="R174" t="s">
        <v>222</v>
      </c>
      <c r="S174" t="s">
        <v>32</v>
      </c>
      <c r="T174" t="s">
        <v>580</v>
      </c>
      <c r="U174" t="s">
        <v>32</v>
      </c>
    </row>
    <row r="175" spans="1:21" x14ac:dyDescent="0.3">
      <c r="A175">
        <v>2025</v>
      </c>
      <c r="B175">
        <v>99</v>
      </c>
      <c r="C175" t="s">
        <v>218</v>
      </c>
      <c r="D175" t="s">
        <v>223</v>
      </c>
      <c r="E175" t="s">
        <v>34</v>
      </c>
      <c r="F175" t="s">
        <v>35</v>
      </c>
      <c r="G175" t="s">
        <v>28</v>
      </c>
      <c r="H175">
        <v>9.3000000000000007</v>
      </c>
      <c r="I175" t="s">
        <v>27</v>
      </c>
      <c r="J175">
        <v>0</v>
      </c>
      <c r="K175">
        <v>3</v>
      </c>
      <c r="L175">
        <v>0</v>
      </c>
      <c r="M175">
        <v>0</v>
      </c>
      <c r="N175">
        <v>0</v>
      </c>
      <c r="O175">
        <v>3</v>
      </c>
      <c r="P175" t="s">
        <v>29</v>
      </c>
      <c r="R175" t="s">
        <v>224</v>
      </c>
      <c r="S175" t="s">
        <v>32</v>
      </c>
      <c r="T175" t="s">
        <v>581</v>
      </c>
      <c r="U175" t="s">
        <v>32</v>
      </c>
    </row>
    <row r="176" spans="1:21" x14ac:dyDescent="0.3">
      <c r="A176">
        <v>2025</v>
      </c>
      <c r="B176">
        <v>100</v>
      </c>
      <c r="C176" t="s">
        <v>225</v>
      </c>
      <c r="D176" t="s">
        <v>226</v>
      </c>
      <c r="E176" t="s">
        <v>34</v>
      </c>
      <c r="F176" t="s">
        <v>35</v>
      </c>
      <c r="G176" t="s">
        <v>28</v>
      </c>
      <c r="H176">
        <v>9.3000000000000007</v>
      </c>
      <c r="I176" t="s">
        <v>27</v>
      </c>
      <c r="J176">
        <v>0</v>
      </c>
      <c r="K176">
        <v>3</v>
      </c>
      <c r="L176">
        <v>0</v>
      </c>
      <c r="M176">
        <v>0</v>
      </c>
      <c r="N176">
        <v>0</v>
      </c>
      <c r="O176">
        <v>3</v>
      </c>
      <c r="P176" t="s">
        <v>29</v>
      </c>
      <c r="R176" t="s">
        <v>227</v>
      </c>
      <c r="S176" t="s">
        <v>32</v>
      </c>
      <c r="T176" t="s">
        <v>582</v>
      </c>
      <c r="U176" t="s">
        <v>32</v>
      </c>
    </row>
    <row r="177" spans="1:21" x14ac:dyDescent="0.3">
      <c r="A177">
        <v>2025</v>
      </c>
      <c r="B177">
        <v>101</v>
      </c>
      <c r="C177" t="s">
        <v>225</v>
      </c>
      <c r="D177" t="s">
        <v>228</v>
      </c>
      <c r="E177" t="s">
        <v>34</v>
      </c>
      <c r="F177" t="s">
        <v>35</v>
      </c>
      <c r="G177" t="s">
        <v>28</v>
      </c>
      <c r="H177">
        <v>9.3000000000000007</v>
      </c>
      <c r="I177" t="s">
        <v>27</v>
      </c>
      <c r="J177">
        <v>0</v>
      </c>
      <c r="K177">
        <v>3</v>
      </c>
      <c r="L177">
        <v>0</v>
      </c>
      <c r="M177">
        <v>0</v>
      </c>
      <c r="N177">
        <v>0</v>
      </c>
      <c r="O177">
        <v>3</v>
      </c>
      <c r="P177" t="s">
        <v>29</v>
      </c>
      <c r="R177" t="s">
        <v>227</v>
      </c>
      <c r="S177" t="s">
        <v>32</v>
      </c>
      <c r="T177" t="s">
        <v>583</v>
      </c>
      <c r="U177" t="s">
        <v>32</v>
      </c>
    </row>
    <row r="178" spans="1:21" x14ac:dyDescent="0.3">
      <c r="A178">
        <v>2025</v>
      </c>
      <c r="B178">
        <v>102</v>
      </c>
      <c r="C178" t="s">
        <v>225</v>
      </c>
      <c r="D178" t="s">
        <v>229</v>
      </c>
      <c r="E178" t="s">
        <v>34</v>
      </c>
      <c r="F178" t="s">
        <v>35</v>
      </c>
      <c r="G178" t="s">
        <v>28</v>
      </c>
      <c r="H178">
        <v>9.3000000000000007</v>
      </c>
      <c r="I178" t="s">
        <v>27</v>
      </c>
      <c r="J178">
        <v>0</v>
      </c>
      <c r="K178">
        <v>3</v>
      </c>
      <c r="L178">
        <v>0</v>
      </c>
      <c r="M178">
        <v>0</v>
      </c>
      <c r="N178">
        <v>0</v>
      </c>
      <c r="O178">
        <v>3</v>
      </c>
      <c r="P178" t="s">
        <v>29</v>
      </c>
      <c r="R178" t="s">
        <v>227</v>
      </c>
      <c r="S178" t="s">
        <v>32</v>
      </c>
      <c r="T178" t="s">
        <v>584</v>
      </c>
      <c r="U178" t="s">
        <v>32</v>
      </c>
    </row>
    <row r="179" spans="1:21" x14ac:dyDescent="0.3">
      <c r="A179">
        <v>2025</v>
      </c>
      <c r="B179">
        <v>103</v>
      </c>
      <c r="C179" t="s">
        <v>225</v>
      </c>
      <c r="D179" t="s">
        <v>230</v>
      </c>
      <c r="E179" t="s">
        <v>34</v>
      </c>
      <c r="F179" t="s">
        <v>35</v>
      </c>
      <c r="G179" t="s">
        <v>28</v>
      </c>
      <c r="H179">
        <v>9.3000000000000007</v>
      </c>
      <c r="I179" t="s">
        <v>27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3</v>
      </c>
      <c r="P179" t="s">
        <v>29</v>
      </c>
      <c r="R179" t="s">
        <v>231</v>
      </c>
      <c r="S179" t="s">
        <v>32</v>
      </c>
      <c r="T179" t="s">
        <v>585</v>
      </c>
      <c r="U179" t="s">
        <v>32</v>
      </c>
    </row>
    <row r="180" spans="1:21" x14ac:dyDescent="0.3">
      <c r="A180">
        <v>2025</v>
      </c>
      <c r="B180">
        <v>104</v>
      </c>
      <c r="C180" t="s">
        <v>225</v>
      </c>
      <c r="D180" t="s">
        <v>232</v>
      </c>
      <c r="E180" t="s">
        <v>34</v>
      </c>
      <c r="F180" t="s">
        <v>35</v>
      </c>
      <c r="G180" t="s">
        <v>28</v>
      </c>
      <c r="H180">
        <v>9.3000000000000007</v>
      </c>
      <c r="I180" t="s">
        <v>27</v>
      </c>
      <c r="J180">
        <v>0</v>
      </c>
      <c r="K180">
        <v>3</v>
      </c>
      <c r="L180">
        <v>0</v>
      </c>
      <c r="M180">
        <v>0</v>
      </c>
      <c r="N180">
        <v>0</v>
      </c>
      <c r="O180">
        <v>3</v>
      </c>
      <c r="P180" t="s">
        <v>29</v>
      </c>
      <c r="R180" t="s">
        <v>233</v>
      </c>
      <c r="S180" t="s">
        <v>32</v>
      </c>
      <c r="T180" t="s">
        <v>586</v>
      </c>
      <c r="U180" t="s">
        <v>32</v>
      </c>
    </row>
    <row r="181" spans="1:21" x14ac:dyDescent="0.3">
      <c r="A181">
        <v>2025</v>
      </c>
      <c r="B181">
        <v>105</v>
      </c>
      <c r="C181" t="s">
        <v>225</v>
      </c>
      <c r="D181" t="s">
        <v>234</v>
      </c>
      <c r="E181" t="s">
        <v>34</v>
      </c>
      <c r="F181" t="s">
        <v>35</v>
      </c>
      <c r="G181" t="s">
        <v>28</v>
      </c>
      <c r="H181">
        <v>9.3000000000000007</v>
      </c>
      <c r="I181" t="s">
        <v>27</v>
      </c>
      <c r="J181">
        <v>0</v>
      </c>
      <c r="K181">
        <v>3</v>
      </c>
      <c r="L181">
        <v>0</v>
      </c>
      <c r="M181">
        <v>0</v>
      </c>
      <c r="N181">
        <v>0</v>
      </c>
      <c r="O181">
        <v>3</v>
      </c>
      <c r="P181" t="s">
        <v>29</v>
      </c>
      <c r="Q181" t="s">
        <v>36</v>
      </c>
      <c r="R181" t="s">
        <v>235</v>
      </c>
      <c r="S181" t="s">
        <v>32</v>
      </c>
      <c r="T181" t="s">
        <v>587</v>
      </c>
      <c r="U181" t="s">
        <v>32</v>
      </c>
    </row>
    <row r="182" spans="1:21" x14ac:dyDescent="0.3">
      <c r="A182">
        <v>2025</v>
      </c>
      <c r="B182">
        <v>106</v>
      </c>
      <c r="C182" t="s">
        <v>225</v>
      </c>
      <c r="D182" t="s">
        <v>236</v>
      </c>
      <c r="E182" t="s">
        <v>34</v>
      </c>
      <c r="F182" t="s">
        <v>35</v>
      </c>
      <c r="G182" t="s">
        <v>28</v>
      </c>
      <c r="H182">
        <v>9.3000000000000007</v>
      </c>
      <c r="I182" t="s">
        <v>27</v>
      </c>
      <c r="J182">
        <v>0</v>
      </c>
      <c r="K182">
        <v>3</v>
      </c>
      <c r="L182">
        <v>0</v>
      </c>
      <c r="M182">
        <v>0</v>
      </c>
      <c r="N182">
        <v>0</v>
      </c>
      <c r="O182">
        <v>3</v>
      </c>
      <c r="P182" t="s">
        <v>29</v>
      </c>
      <c r="R182" t="s">
        <v>237</v>
      </c>
      <c r="S182" t="s">
        <v>32</v>
      </c>
      <c r="T182" t="s">
        <v>588</v>
      </c>
      <c r="U182" t="s">
        <v>32</v>
      </c>
    </row>
    <row r="183" spans="1:21" x14ac:dyDescent="0.3">
      <c r="A183">
        <v>2025</v>
      </c>
      <c r="B183">
        <v>107</v>
      </c>
      <c r="C183" t="s">
        <v>225</v>
      </c>
      <c r="D183" t="s">
        <v>238</v>
      </c>
      <c r="E183" t="s">
        <v>34</v>
      </c>
      <c r="F183" t="s">
        <v>35</v>
      </c>
      <c r="G183" t="s">
        <v>28</v>
      </c>
      <c r="H183">
        <v>9.3000000000000007</v>
      </c>
      <c r="I183" t="s">
        <v>27</v>
      </c>
      <c r="J183">
        <v>0</v>
      </c>
      <c r="K183">
        <v>3</v>
      </c>
      <c r="L183">
        <v>0</v>
      </c>
      <c r="M183">
        <v>0</v>
      </c>
      <c r="N183">
        <v>0</v>
      </c>
      <c r="O183">
        <v>3</v>
      </c>
      <c r="P183" t="s">
        <v>29</v>
      </c>
      <c r="R183" t="s">
        <v>239</v>
      </c>
      <c r="S183" t="s">
        <v>32</v>
      </c>
      <c r="T183" t="s">
        <v>589</v>
      </c>
      <c r="U183" t="s">
        <v>32</v>
      </c>
    </row>
    <row r="184" spans="1:21" x14ac:dyDescent="0.3">
      <c r="A184">
        <v>2025</v>
      </c>
      <c r="B184">
        <v>108</v>
      </c>
      <c r="C184" t="s">
        <v>225</v>
      </c>
      <c r="D184" t="s">
        <v>240</v>
      </c>
      <c r="E184" t="s">
        <v>34</v>
      </c>
      <c r="F184" t="s">
        <v>35</v>
      </c>
      <c r="G184" t="s">
        <v>28</v>
      </c>
      <c r="H184">
        <v>9.3000000000000007</v>
      </c>
      <c r="I184" t="s">
        <v>27</v>
      </c>
      <c r="J184">
        <v>0</v>
      </c>
      <c r="K184">
        <v>3</v>
      </c>
      <c r="L184">
        <v>0</v>
      </c>
      <c r="M184">
        <v>0</v>
      </c>
      <c r="N184">
        <v>0</v>
      </c>
      <c r="O184">
        <v>3</v>
      </c>
      <c r="P184" t="s">
        <v>29</v>
      </c>
      <c r="Q184" t="s">
        <v>36</v>
      </c>
      <c r="R184" t="s">
        <v>239</v>
      </c>
      <c r="S184" t="s">
        <v>32</v>
      </c>
      <c r="T184" t="s">
        <v>590</v>
      </c>
      <c r="U184" t="s">
        <v>32</v>
      </c>
    </row>
    <row r="185" spans="1:21" x14ac:dyDescent="0.3">
      <c r="A185">
        <v>2025</v>
      </c>
      <c r="B185">
        <v>109</v>
      </c>
      <c r="C185" t="s">
        <v>225</v>
      </c>
      <c r="D185" t="s">
        <v>241</v>
      </c>
      <c r="E185" t="s">
        <v>34</v>
      </c>
      <c r="F185" t="s">
        <v>35</v>
      </c>
      <c r="G185" t="s">
        <v>28</v>
      </c>
      <c r="H185">
        <v>9.3000000000000007</v>
      </c>
      <c r="I185" t="s">
        <v>27</v>
      </c>
      <c r="J185">
        <v>0</v>
      </c>
      <c r="K185">
        <v>3</v>
      </c>
      <c r="L185">
        <v>0</v>
      </c>
      <c r="M185">
        <v>0</v>
      </c>
      <c r="N185">
        <v>0</v>
      </c>
      <c r="O185">
        <v>3</v>
      </c>
      <c r="P185" t="s">
        <v>29</v>
      </c>
      <c r="R185" t="s">
        <v>242</v>
      </c>
      <c r="S185" t="s">
        <v>32</v>
      </c>
      <c r="T185" t="s">
        <v>591</v>
      </c>
      <c r="U185" t="s">
        <v>32</v>
      </c>
    </row>
    <row r="186" spans="1:21" x14ac:dyDescent="0.3">
      <c r="A186">
        <v>2025</v>
      </c>
      <c r="B186">
        <v>110</v>
      </c>
      <c r="C186" t="s">
        <v>225</v>
      </c>
      <c r="D186" t="s">
        <v>243</v>
      </c>
      <c r="E186" t="s">
        <v>34</v>
      </c>
      <c r="F186" t="s">
        <v>35</v>
      </c>
      <c r="G186" t="s">
        <v>28</v>
      </c>
      <c r="H186">
        <v>9.3000000000000007</v>
      </c>
      <c r="I186" t="s">
        <v>27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3</v>
      </c>
      <c r="P186" t="s">
        <v>29</v>
      </c>
      <c r="R186" t="s">
        <v>244</v>
      </c>
      <c r="T186" t="s">
        <v>592</v>
      </c>
    </row>
    <row r="187" spans="1:21" x14ac:dyDescent="0.3">
      <c r="A187">
        <v>2025</v>
      </c>
      <c r="B187">
        <v>111</v>
      </c>
      <c r="C187" t="s">
        <v>225</v>
      </c>
      <c r="D187" t="s">
        <v>245</v>
      </c>
      <c r="E187" t="s">
        <v>34</v>
      </c>
      <c r="F187" t="s">
        <v>35</v>
      </c>
      <c r="G187" t="s">
        <v>28</v>
      </c>
      <c r="H187">
        <v>9.3000000000000007</v>
      </c>
      <c r="I187" t="s">
        <v>27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3</v>
      </c>
      <c r="P187" t="s">
        <v>29</v>
      </c>
      <c r="R187" t="s">
        <v>244</v>
      </c>
      <c r="T187" t="s">
        <v>593</v>
      </c>
    </row>
    <row r="188" spans="1:21" x14ac:dyDescent="0.3">
      <c r="A188">
        <v>2025</v>
      </c>
      <c r="B188">
        <v>112</v>
      </c>
      <c r="C188" t="s">
        <v>225</v>
      </c>
      <c r="D188" t="s">
        <v>246</v>
      </c>
      <c r="E188" t="s">
        <v>34</v>
      </c>
      <c r="F188" t="s">
        <v>480</v>
      </c>
      <c r="G188" t="s">
        <v>28</v>
      </c>
      <c r="H188">
        <v>9.3000000000000007</v>
      </c>
      <c r="I188" t="s">
        <v>27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 t="s">
        <v>29</v>
      </c>
      <c r="R188" t="s">
        <v>247</v>
      </c>
      <c r="T188" t="s">
        <v>594</v>
      </c>
    </row>
  </sheetData>
  <phoneticPr fontId="2" type="noConversion"/>
  <pageMargins left="0.7" right="0.7" top="0.75" bottom="0.75" header="0.3" footer="0.3"/>
  <ignoredErrors>
    <ignoredError sqref="E1:U1 B3:U4 E2:U2 C7:G8 C10:G11 C9:E9 G9 C13:G15 C12:D12 G12 C17:G17 C16:E16 G16 C19:G27 C18:E18 G18 C29:G37 C28:E28 G28 C39:G51 C38:E38 G38 C53:G53 C52:E52 G52 C55:G57 C54:E54 G54 C59:G66 C58:E58 G58 C68:G73 C67:E67 G67 C75:G76 C74:E74 G74 S9:U9 R12:U12 U25 R67:U67 R52:U52 R54:U54 R58:U58 R71:U71 D5:G5 C6:G6 P5:U5 P6:U8 P10:U11 P9 P13:U24 P26:U51 P25:S25 P68:U70 P67 P53:U53 P52 P55:U57 P54 P59:U66 P58 P72:U76 P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DE8B-E333-4E49-9A07-3FE7F358C03F}">
  <sheetPr>
    <pageSetUpPr fitToPage="1"/>
  </sheetPr>
  <dimension ref="A2:S80"/>
  <sheetViews>
    <sheetView view="pageBreakPreview" zoomScaleNormal="100" zoomScaleSheetLayoutView="100" workbookViewId="0">
      <selection activeCell="E5" sqref="E5:F5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447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0" t="s">
        <v>448</v>
      </c>
      <c r="B4" s="12"/>
      <c r="C4" s="10" t="s">
        <v>449</v>
      </c>
      <c r="D4" s="12"/>
      <c r="E4" s="10" t="s">
        <v>450</v>
      </c>
      <c r="F4" s="12"/>
      <c r="G4" s="10" t="s">
        <v>451</v>
      </c>
      <c r="H4" s="11"/>
      <c r="I4" s="12"/>
      <c r="J4" s="10" t="s">
        <v>452</v>
      </c>
      <c r="K4" s="11"/>
      <c r="L4" s="12"/>
      <c r="M4" s="10" t="s">
        <v>453</v>
      </c>
      <c r="N4" s="11"/>
      <c r="O4" s="11"/>
      <c r="P4" s="12"/>
    </row>
    <row r="5" spans="1:19" x14ac:dyDescent="0.3">
      <c r="A5" s="10" t="s">
        <v>454</v>
      </c>
      <c r="B5" s="12"/>
      <c r="C5" s="10" t="str">
        <f>RawData!C2</f>
        <v>용인시</v>
      </c>
      <c r="D5" s="12"/>
      <c r="E5" s="10" t="s">
        <v>455</v>
      </c>
      <c r="F5" s="12"/>
      <c r="G5" s="10" t="s">
        <v>456</v>
      </c>
      <c r="H5" s="11"/>
      <c r="I5" s="12"/>
      <c r="J5" s="10">
        <f>[1]RawData!B2</f>
        <v>2026</v>
      </c>
      <c r="K5" s="11"/>
      <c r="L5" s="12"/>
      <c r="M5" s="10" t="s">
        <v>457</v>
      </c>
      <c r="N5" s="11"/>
      <c r="O5" s="11"/>
      <c r="P5" s="12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3" t="s">
        <v>4</v>
      </c>
      <c r="B7" s="13" t="s">
        <v>5</v>
      </c>
      <c r="C7" s="13" t="s">
        <v>6</v>
      </c>
      <c r="D7" s="15" t="s">
        <v>458</v>
      </c>
      <c r="E7" s="11"/>
      <c r="F7" s="11"/>
      <c r="G7" s="11"/>
      <c r="H7" s="12"/>
      <c r="I7" s="15" t="s">
        <v>459</v>
      </c>
      <c r="J7" s="11"/>
      <c r="K7" s="11"/>
      <c r="L7" s="11"/>
      <c r="M7" s="12"/>
      <c r="N7" s="13" t="s">
        <v>17</v>
      </c>
      <c r="O7" s="13" t="s">
        <v>18</v>
      </c>
      <c r="P7" s="13" t="s">
        <v>460</v>
      </c>
    </row>
    <row r="8" spans="1:19" s="5" customFormat="1" ht="24.75" customHeight="1" x14ac:dyDescent="0.3">
      <c r="A8" s="14"/>
      <c r="B8" s="14"/>
      <c r="C8" s="14"/>
      <c r="D8" s="4" t="s">
        <v>7</v>
      </c>
      <c r="E8" s="4" t="s">
        <v>8</v>
      </c>
      <c r="F8" s="4" t="s">
        <v>9</v>
      </c>
      <c r="G8" s="4" t="s">
        <v>10</v>
      </c>
      <c r="H8" s="4" t="s">
        <v>461</v>
      </c>
      <c r="I8" s="4" t="s">
        <v>462</v>
      </c>
      <c r="J8" s="4" t="s">
        <v>8</v>
      </c>
      <c r="K8" s="4" t="s">
        <v>9</v>
      </c>
      <c r="L8" s="4" t="s">
        <v>463</v>
      </c>
      <c r="M8" s="4" t="s">
        <v>16</v>
      </c>
      <c r="N8" s="14"/>
      <c r="O8" s="14"/>
      <c r="P8" s="14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신수로</v>
      </c>
      <c r="C9" s="6" t="str">
        <f>RawData!D5</f>
        <v>26-용인시-01</v>
      </c>
      <c r="D9" s="6" t="str">
        <f>RawData!E5</f>
        <v>양호</v>
      </c>
      <c r="E9" s="6" t="str">
        <f>RawData!F5</f>
        <v>종횡균열</v>
      </c>
      <c r="F9" s="6" t="str">
        <f>RawData!G5</f>
        <v>양호</v>
      </c>
      <c r="G9" s="6">
        <f>RawData!H5</f>
        <v>10.3</v>
      </c>
      <c r="H9" s="6" t="str">
        <f>RawData!I5</f>
        <v>-</v>
      </c>
      <c r="I9" s="6">
        <f>IF(D9="양호",0,IF(D9="보통",3,IF(D9="불량",9)))</f>
        <v>0</v>
      </c>
      <c r="J9" s="6">
        <f t="shared" ref="J9:J33" si="0">IF(E9="거북등",3,IF(RIGHT(E9,2)="균열",1,IF(E9="-",0)))</f>
        <v>1</v>
      </c>
      <c r="K9" s="6">
        <f t="shared" ref="K9:K33" si="1">IF(F9="유출",9,IF(F9="습윤",1,IF(F9="양호",0,IF(F9="건조",0))))</f>
        <v>0</v>
      </c>
      <c r="L9" s="6">
        <f>IF(G9&gt;=30,2,IF(G9&gt;=10,1,0))</f>
        <v>1</v>
      </c>
      <c r="M9" s="6">
        <f t="shared" ref="M9:M33" si="2">IF(H9="-",0,1)</f>
        <v>0</v>
      </c>
      <c r="N9" s="6">
        <f t="shared" ref="N9:N33" si="3">SUM(I9:M9)</f>
        <v>2</v>
      </c>
      <c r="O9" s="6" t="str">
        <f t="shared" ref="O9:O33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RawData!C6</f>
        <v>신수로</v>
      </c>
      <c r="C10" s="6" t="str">
        <f>RawData!D6</f>
        <v>26-용인시-02</v>
      </c>
      <c r="D10" s="6" t="str">
        <f>RawData!E6</f>
        <v>양호</v>
      </c>
      <c r="E10" s="6" t="str">
        <f>RawData!F6</f>
        <v>거북등</v>
      </c>
      <c r="F10" s="6" t="str">
        <f>RawData!G6</f>
        <v>양호</v>
      </c>
      <c r="G10" s="6">
        <f>RawData!H6</f>
        <v>10.3</v>
      </c>
      <c r="H10" s="6" t="str">
        <f>RawData!I6</f>
        <v>-</v>
      </c>
      <c r="I10" s="6">
        <f t="shared" ref="I10:I33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3" si="6">IF(G10&gt;=30,2,IF(G10&gt;=10,1,0))</f>
        <v>1</v>
      </c>
      <c r="M10" s="6">
        <f t="shared" si="2"/>
        <v>0</v>
      </c>
      <c r="N10" s="6">
        <f t="shared" si="3"/>
        <v>4</v>
      </c>
      <c r="O10" s="6" t="str">
        <f t="shared" si="4"/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RawData!C7</f>
        <v>신수로</v>
      </c>
      <c r="C11" s="6" t="str">
        <f>RawData!D7</f>
        <v>26-용인시-03</v>
      </c>
      <c r="D11" s="6" t="str">
        <f>RawData!E7</f>
        <v>보통</v>
      </c>
      <c r="E11" s="6" t="str">
        <f>RawData!F7</f>
        <v>종횡균열</v>
      </c>
      <c r="F11" s="6" t="str">
        <f>RawData!G7</f>
        <v>양호</v>
      </c>
      <c r="G11" s="6">
        <f>RawData!H7</f>
        <v>10.3</v>
      </c>
      <c r="H11" s="6" t="str">
        <f>RawData!I7</f>
        <v>-</v>
      </c>
      <c r="I11" s="6">
        <f t="shared" si="5"/>
        <v>3</v>
      </c>
      <c r="J11" s="6">
        <f t="shared" si="0"/>
        <v>1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5</v>
      </c>
      <c r="O11" s="6" t="str">
        <f t="shared" si="4"/>
        <v>일반</v>
      </c>
      <c r="P11" s="7" t="str">
        <f>RawData!Q7</f>
        <v>7cm 침하</v>
      </c>
    </row>
    <row r="12" spans="1:19" x14ac:dyDescent="0.3">
      <c r="A12" s="6" t="str">
        <f>RIGHT(RawData!B8,2)</f>
        <v>4</v>
      </c>
      <c r="B12" s="6" t="str">
        <f>RawData!C8</f>
        <v>신수로</v>
      </c>
      <c r="C12" s="6" t="str">
        <f>RawData!D8</f>
        <v>26-용인시-04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10.3</v>
      </c>
      <c r="H12" s="6" t="str">
        <f>RawData!I8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RawData!C9</f>
        <v>신수로</v>
      </c>
      <c r="C13" s="6" t="str">
        <f>RawData!D9</f>
        <v>26-용인시-05</v>
      </c>
      <c r="D13" s="6" t="str">
        <f>RawData!E9</f>
        <v>양호</v>
      </c>
      <c r="E13" s="6" t="str">
        <f>RawData!F9</f>
        <v>-</v>
      </c>
      <c r="F13" s="6" t="str">
        <f>RawData!G9</f>
        <v>양호</v>
      </c>
      <c r="G13" s="6">
        <f>RawData!H9</f>
        <v>10.3</v>
      </c>
      <c r="H13" s="6" t="str">
        <f>RawData!I9</f>
        <v>-</v>
      </c>
      <c r="I13" s="6">
        <f t="shared" si="5"/>
        <v>0</v>
      </c>
      <c r="J13" s="6">
        <f t="shared" si="0"/>
        <v>0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1</v>
      </c>
      <c r="O13" s="6" t="str">
        <f t="shared" si="4"/>
        <v>일반</v>
      </c>
      <c r="P13" s="7" t="str">
        <f>RawData!Q9</f>
        <v>5cm 보도침하</v>
      </c>
    </row>
    <row r="14" spans="1:19" x14ac:dyDescent="0.3">
      <c r="A14" s="6" t="str">
        <f>RIGHT(RawData!B10,2)</f>
        <v>6</v>
      </c>
      <c r="B14" s="6" t="str">
        <f>RawData!C10</f>
        <v>신수로</v>
      </c>
      <c r="C14" s="6" t="str">
        <f>RawData!D10</f>
        <v>26-용인시-06</v>
      </c>
      <c r="D14" s="6" t="str">
        <f>RawData!E10</f>
        <v>양호</v>
      </c>
      <c r="E14" s="6" t="str">
        <f>RawData!F10</f>
        <v>종균열</v>
      </c>
      <c r="F14" s="6" t="str">
        <f>RawData!G10</f>
        <v>양호</v>
      </c>
      <c r="G14" s="6">
        <f>RawData!H10</f>
        <v>10.3</v>
      </c>
      <c r="H14" s="6" t="str">
        <f>RawData!I10</f>
        <v>-</v>
      </c>
      <c r="I14" s="6">
        <f t="shared" si="5"/>
        <v>0</v>
      </c>
      <c r="J14" s="6">
        <f t="shared" si="0"/>
        <v>1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2</v>
      </c>
      <c r="O14" s="6" t="str">
        <f t="shared" si="4"/>
        <v>일반</v>
      </c>
      <c r="P14" s="7" t="str">
        <f>RawData!Q10</f>
        <v>-</v>
      </c>
    </row>
    <row r="15" spans="1:19" x14ac:dyDescent="0.3">
      <c r="A15" s="6" t="str">
        <f>RIGHT(RawData!B11,2)</f>
        <v>7</v>
      </c>
      <c r="B15" s="6" t="str">
        <f>RawData!C11</f>
        <v>신수로</v>
      </c>
      <c r="C15" s="6" t="str">
        <f>RawData!D11</f>
        <v>26-용인시-07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10.3</v>
      </c>
      <c r="H15" s="6" t="str">
        <f>RawData!I11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RawData!Q11</f>
        <v>-</v>
      </c>
    </row>
    <row r="16" spans="1:19" x14ac:dyDescent="0.3">
      <c r="A16" s="6" t="str">
        <f>RIGHT(RawData!B12,2)</f>
        <v>8</v>
      </c>
      <c r="B16" s="6" t="str">
        <f>RawData!C12</f>
        <v>신수로</v>
      </c>
      <c r="C16" s="6" t="str">
        <f>RawData!D12</f>
        <v>26-용인시-08</v>
      </c>
      <c r="D16" s="6" t="str">
        <f>RawData!E12</f>
        <v>보통</v>
      </c>
      <c r="E16" s="6" t="str">
        <f>RawData!F12</f>
        <v>-</v>
      </c>
      <c r="F16" s="6" t="str">
        <f>RawData!G12</f>
        <v>양호</v>
      </c>
      <c r="G16" s="6">
        <f>RawData!H12</f>
        <v>10.3</v>
      </c>
      <c r="H16" s="6" t="str">
        <f>RawData!I12</f>
        <v>-</v>
      </c>
      <c r="I16" s="6">
        <f t="shared" si="5"/>
        <v>3</v>
      </c>
      <c r="J16" s="6">
        <f t="shared" si="0"/>
        <v>0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RawData!Q12</f>
        <v>7~9cm 보도침하</v>
      </c>
    </row>
    <row r="17" spans="1:16" x14ac:dyDescent="0.3">
      <c r="A17" s="6" t="str">
        <f>RIGHT(RawData!B13,2)</f>
        <v>9</v>
      </c>
      <c r="B17" s="6" t="str">
        <f>RawData!C13</f>
        <v>신수로</v>
      </c>
      <c r="C17" s="6" t="str">
        <f>RawData!D13</f>
        <v>26-용인시-09</v>
      </c>
      <c r="D17" s="6" t="str">
        <f>RawData!E13</f>
        <v>양호</v>
      </c>
      <c r="E17" s="6" t="str">
        <f>RawData!F13</f>
        <v>종횡균열</v>
      </c>
      <c r="F17" s="6" t="str">
        <f>RawData!G13</f>
        <v>양호</v>
      </c>
      <c r="G17" s="6">
        <f>RawData!H13</f>
        <v>10.3</v>
      </c>
      <c r="H17" s="6" t="str">
        <f>RawData!I13</f>
        <v>-</v>
      </c>
      <c r="I17" s="6">
        <f t="shared" si="5"/>
        <v>0</v>
      </c>
      <c r="J17" s="6">
        <f t="shared" si="0"/>
        <v>1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2</v>
      </c>
      <c r="O17" s="6" t="str">
        <f t="shared" si="4"/>
        <v>일반</v>
      </c>
      <c r="P17" s="7" t="str">
        <f>RawData!Q13</f>
        <v>-</v>
      </c>
    </row>
    <row r="18" spans="1:16" x14ac:dyDescent="0.3">
      <c r="A18" s="6" t="str">
        <f>RIGHT(RawData!B14,2)</f>
        <v>10</v>
      </c>
      <c r="B18" s="6" t="str">
        <f>RawData!C14</f>
        <v>신수로</v>
      </c>
      <c r="C18" s="6" t="str">
        <f>RawData!D14</f>
        <v>26-용인시-10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10.3</v>
      </c>
      <c r="H18" s="6" t="str">
        <f>RawData!I14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RawData!C15</f>
        <v>신수로</v>
      </c>
      <c r="C19" s="6" t="str">
        <f>RawData!D15</f>
        <v>26-용인시-11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10.3</v>
      </c>
      <c r="H19" s="6" t="str">
        <f>RawData!I15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RawData!Q15</f>
        <v>-</v>
      </c>
    </row>
    <row r="20" spans="1:16" x14ac:dyDescent="0.3">
      <c r="A20" s="6" t="str">
        <f>RIGHT(RawData!B16,2)</f>
        <v>12</v>
      </c>
      <c r="B20" s="6" t="str">
        <f>RawData!C16</f>
        <v>풍덕천로</v>
      </c>
      <c r="C20" s="6" t="str">
        <f>RawData!D16</f>
        <v>26-용인시-12</v>
      </c>
      <c r="D20" s="6" t="str">
        <f>RawData!E16</f>
        <v>양호</v>
      </c>
      <c r="E20" s="6" t="str">
        <f>RawData!F16</f>
        <v>-</v>
      </c>
      <c r="F20" s="6" t="str">
        <f>RawData!G16</f>
        <v>양호</v>
      </c>
      <c r="G20" s="6">
        <f>RawData!H16</f>
        <v>10.3</v>
      </c>
      <c r="H20" s="6" t="str">
        <f>RawData!I16</f>
        <v>-</v>
      </c>
      <c r="I20" s="6">
        <f t="shared" si="5"/>
        <v>0</v>
      </c>
      <c r="J20" s="6">
        <f t="shared" si="0"/>
        <v>0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1</v>
      </c>
      <c r="O20" s="6" t="str">
        <f t="shared" si="4"/>
        <v>일반</v>
      </c>
      <c r="P20" s="7" t="str">
        <f>RawData!Q16</f>
        <v>5cm이하 침하</v>
      </c>
    </row>
    <row r="21" spans="1:16" x14ac:dyDescent="0.3">
      <c r="A21" s="6" t="str">
        <f>RIGHT(RawData!B17,2)</f>
        <v>13</v>
      </c>
      <c r="B21" s="6" t="str">
        <f>RawData!C17</f>
        <v>풍덕천로</v>
      </c>
      <c r="C21" s="6" t="str">
        <f>RawData!D17</f>
        <v>26-용인시-13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10.3</v>
      </c>
      <c r="H21" s="6" t="str">
        <f>RawData!I17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RawData!Q17</f>
        <v>-</v>
      </c>
    </row>
    <row r="22" spans="1:16" x14ac:dyDescent="0.3">
      <c r="A22" s="6" t="str">
        <f>RIGHT(RawData!B18,2)</f>
        <v>14</v>
      </c>
      <c r="B22" s="6" t="str">
        <f>RawData!C18</f>
        <v>풍덕천로</v>
      </c>
      <c r="C22" s="6" t="str">
        <f>RawData!D18</f>
        <v>26-용인시-14</v>
      </c>
      <c r="D22" s="6" t="str">
        <f>RawData!E18</f>
        <v>양호</v>
      </c>
      <c r="E22" s="6" t="str">
        <f>RawData!F18</f>
        <v>-</v>
      </c>
      <c r="F22" s="6" t="str">
        <f>RawData!G18</f>
        <v>양호</v>
      </c>
      <c r="G22" s="6">
        <f>RawData!H18</f>
        <v>10.3</v>
      </c>
      <c r="H22" s="6" t="str">
        <f>RawData!I18</f>
        <v>-</v>
      </c>
      <c r="I22" s="6">
        <f t="shared" si="5"/>
        <v>0</v>
      </c>
      <c r="J22" s="6">
        <f t="shared" si="0"/>
        <v>0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1</v>
      </c>
      <c r="O22" s="6" t="str">
        <f t="shared" si="4"/>
        <v>일반</v>
      </c>
      <c r="P22" s="7" t="str">
        <f>RawData!Q18</f>
        <v>5cm이하 침하</v>
      </c>
    </row>
    <row r="23" spans="1:16" x14ac:dyDescent="0.3">
      <c r="A23" s="6" t="str">
        <f>RIGHT(RawData!B19,2)</f>
        <v>15</v>
      </c>
      <c r="B23" s="6" t="str">
        <f>RawData!C19</f>
        <v>풍덕천로</v>
      </c>
      <c r="C23" s="6" t="str">
        <f>RawData!D19</f>
        <v>26-용인시-15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10.3</v>
      </c>
      <c r="H23" s="6" t="str">
        <f>RawData!I19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RawData!Q19</f>
        <v>-</v>
      </c>
    </row>
    <row r="24" spans="1:16" x14ac:dyDescent="0.3">
      <c r="A24" s="6" t="str">
        <f>RIGHT(RawData!B20,2)</f>
        <v>16</v>
      </c>
      <c r="B24" s="6" t="str">
        <f>RawData!C20</f>
        <v>풍덕천로</v>
      </c>
      <c r="C24" s="6" t="str">
        <f>RawData!D20</f>
        <v>26-용인시-16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10.3</v>
      </c>
      <c r="H24" s="6" t="str">
        <f>RawData!I20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RawData!Q20</f>
        <v>-</v>
      </c>
    </row>
    <row r="25" spans="1:16" x14ac:dyDescent="0.3">
      <c r="A25" s="6" t="str">
        <f>RIGHT(RawData!B21,2)</f>
        <v>17</v>
      </c>
      <c r="B25" s="6" t="str">
        <f>RawData!C21</f>
        <v>풍덕천로</v>
      </c>
      <c r="C25" s="6" t="str">
        <f>RawData!D21</f>
        <v>26-용인시-17</v>
      </c>
      <c r="D25" s="6" t="str">
        <f>RawData!E21</f>
        <v>양호</v>
      </c>
      <c r="E25" s="6" t="str">
        <f>RawData!F21</f>
        <v>거북등</v>
      </c>
      <c r="F25" s="6" t="str">
        <f>RawData!G21</f>
        <v>양호</v>
      </c>
      <c r="G25" s="6">
        <f>RawData!H21</f>
        <v>10.3</v>
      </c>
      <c r="H25" s="6" t="str">
        <f>RawData!I21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RawData!Q21</f>
        <v>-</v>
      </c>
    </row>
    <row r="26" spans="1:16" x14ac:dyDescent="0.3">
      <c r="A26" s="6" t="str">
        <f>RIGHT(RawData!B22,2)</f>
        <v>18</v>
      </c>
      <c r="B26" s="6" t="str">
        <f>RawData!C22</f>
        <v>풍덕천로</v>
      </c>
      <c r="C26" s="6" t="str">
        <f>RawData!D22</f>
        <v>26-용인시-18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10.3</v>
      </c>
      <c r="H26" s="6" t="str">
        <f>RawData!I22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RawData!Q22</f>
        <v>-</v>
      </c>
    </row>
    <row r="27" spans="1:16" x14ac:dyDescent="0.3">
      <c r="A27" s="6" t="str">
        <f>RIGHT(RawData!B23,2)</f>
        <v>19</v>
      </c>
      <c r="B27" s="6" t="str">
        <f>RawData!C23</f>
        <v>풍덕천로</v>
      </c>
      <c r="C27" s="6" t="str">
        <f>RawData!D23</f>
        <v>26-용인시-19</v>
      </c>
      <c r="D27" s="6" t="str">
        <f>RawData!E23</f>
        <v>양호</v>
      </c>
      <c r="E27" s="6" t="str">
        <f>RawData!F23</f>
        <v>거북등</v>
      </c>
      <c r="F27" s="6" t="str">
        <f>RawData!G23</f>
        <v>양호</v>
      </c>
      <c r="G27" s="6">
        <f>RawData!H23</f>
        <v>10.3</v>
      </c>
      <c r="H27" s="6" t="str">
        <f>RawData!I23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4</v>
      </c>
      <c r="O27" s="6" t="str">
        <f t="shared" si="4"/>
        <v>일반</v>
      </c>
      <c r="P27" s="7" t="str">
        <f>RawData!Q23</f>
        <v>-</v>
      </c>
    </row>
    <row r="28" spans="1:16" x14ac:dyDescent="0.3">
      <c r="A28" s="6" t="str">
        <f>RIGHT(RawData!B24,2)</f>
        <v>20</v>
      </c>
      <c r="B28" s="6" t="str">
        <f>RawData!C24</f>
        <v>풍덕천로</v>
      </c>
      <c r="C28" s="6" t="str">
        <f>RawData!D24</f>
        <v>26-용인시-20</v>
      </c>
      <c r="D28" s="6" t="str">
        <f>RawData!E24</f>
        <v>양호</v>
      </c>
      <c r="E28" s="6" t="str">
        <f>RawData!F24</f>
        <v>거북등</v>
      </c>
      <c r="F28" s="6" t="str">
        <f>RawData!G24</f>
        <v>양호</v>
      </c>
      <c r="G28" s="6">
        <f>RawData!H24</f>
        <v>10.3</v>
      </c>
      <c r="H28" s="6" t="str">
        <f>RawData!I24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4</v>
      </c>
      <c r="O28" s="6" t="str">
        <f t="shared" si="4"/>
        <v>일반</v>
      </c>
      <c r="P28" s="7" t="str">
        <f>RawData!Q24</f>
        <v>-</v>
      </c>
    </row>
    <row r="29" spans="1:16" x14ac:dyDescent="0.3">
      <c r="A29" s="6" t="str">
        <f>RIGHT(RawData!B25,2)</f>
        <v>21</v>
      </c>
      <c r="B29" s="6" t="str">
        <f>RawData!C25</f>
        <v>풍덕천로</v>
      </c>
      <c r="C29" s="6" t="str">
        <f>RawData!D25</f>
        <v>26-용인시-21</v>
      </c>
      <c r="D29" s="6" t="str">
        <f>RawData!E25</f>
        <v>양호</v>
      </c>
      <c r="E29" s="6" t="str">
        <f>RawData!F25</f>
        <v>거북등</v>
      </c>
      <c r="F29" s="6" t="str">
        <f>RawData!G25</f>
        <v>양호</v>
      </c>
      <c r="G29" s="6">
        <f>RawData!H25</f>
        <v>10.3</v>
      </c>
      <c r="H29" s="6" t="str">
        <f>RawData!I25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4</v>
      </c>
      <c r="O29" s="6" t="str">
        <f t="shared" si="4"/>
        <v>일반</v>
      </c>
      <c r="P29" s="7" t="str">
        <f>RawData!Q25</f>
        <v>5cm이하 침하</v>
      </c>
    </row>
    <row r="30" spans="1:16" x14ac:dyDescent="0.3">
      <c r="A30" s="6" t="str">
        <f>RIGHT(RawData!B26,2)</f>
        <v>22</v>
      </c>
      <c r="B30" s="6" t="str">
        <f>RawData!C26</f>
        <v>풍덕천로</v>
      </c>
      <c r="C30" s="6" t="str">
        <f>RawData!D26</f>
        <v>26-용인시-22</v>
      </c>
      <c r="D30" s="6" t="str">
        <f>RawData!E26</f>
        <v>양호</v>
      </c>
      <c r="E30" s="6" t="str">
        <f>RawData!F26</f>
        <v>거북등</v>
      </c>
      <c r="F30" s="6" t="str">
        <f>RawData!G26</f>
        <v>양호</v>
      </c>
      <c r="G30" s="6">
        <f>RawData!H26</f>
        <v>10.3</v>
      </c>
      <c r="H30" s="6" t="str">
        <f>RawData!I26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1</v>
      </c>
      <c r="M30" s="6">
        <f t="shared" si="2"/>
        <v>0</v>
      </c>
      <c r="N30" s="6">
        <f t="shared" si="3"/>
        <v>4</v>
      </c>
      <c r="O30" s="6" t="str">
        <f t="shared" si="4"/>
        <v>일반</v>
      </c>
      <c r="P30" s="7" t="str">
        <f>RawData!Q26</f>
        <v>-</v>
      </c>
    </row>
    <row r="31" spans="1:16" x14ac:dyDescent="0.3">
      <c r="A31" s="6" t="str">
        <f>RIGHT(RawData!B27,2)</f>
        <v>23</v>
      </c>
      <c r="B31" s="6" t="str">
        <f>RawData!C27</f>
        <v>풍덕천로</v>
      </c>
      <c r="C31" s="6" t="str">
        <f>RawData!D27</f>
        <v>26-용인시-23</v>
      </c>
      <c r="D31" s="6" t="str">
        <f>RawData!E27</f>
        <v>양호</v>
      </c>
      <c r="E31" s="6" t="str">
        <f>RawData!F27</f>
        <v>거북등</v>
      </c>
      <c r="F31" s="6" t="str">
        <f>RawData!G27</f>
        <v>양호</v>
      </c>
      <c r="G31" s="6">
        <f>RawData!H27</f>
        <v>10.3</v>
      </c>
      <c r="H31" s="6" t="str">
        <f>RawData!I27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1</v>
      </c>
      <c r="M31" s="6">
        <f t="shared" si="2"/>
        <v>0</v>
      </c>
      <c r="N31" s="6">
        <f t="shared" si="3"/>
        <v>4</v>
      </c>
      <c r="O31" s="6" t="str">
        <f t="shared" si="4"/>
        <v>일반</v>
      </c>
      <c r="P31" s="7" t="str">
        <f>RawData!Q27</f>
        <v>-</v>
      </c>
    </row>
    <row r="32" spans="1:16" x14ac:dyDescent="0.3">
      <c r="A32" s="6" t="str">
        <f>RIGHT(RawData!B28,2)</f>
        <v>24</v>
      </c>
      <c r="B32" s="6" t="str">
        <f>RawData!C28</f>
        <v>풍덕천로</v>
      </c>
      <c r="C32" s="6" t="str">
        <f>RawData!D28</f>
        <v>26-용인시-24</v>
      </c>
      <c r="D32" s="6" t="str">
        <f>RawData!E28</f>
        <v>양호</v>
      </c>
      <c r="E32" s="6" t="str">
        <f>RawData!F28</f>
        <v>-</v>
      </c>
      <c r="F32" s="6" t="str">
        <f>RawData!G28</f>
        <v>양호</v>
      </c>
      <c r="G32" s="6">
        <f>RawData!H28</f>
        <v>10.3</v>
      </c>
      <c r="H32" s="6" t="str">
        <f>RawData!I28</f>
        <v>-</v>
      </c>
      <c r="I32" s="6">
        <f t="shared" si="5"/>
        <v>0</v>
      </c>
      <c r="J32" s="6">
        <f t="shared" si="0"/>
        <v>0</v>
      </c>
      <c r="K32" s="6">
        <f t="shared" si="1"/>
        <v>0</v>
      </c>
      <c r="L32" s="6">
        <f t="shared" si="6"/>
        <v>1</v>
      </c>
      <c r="M32" s="6">
        <f t="shared" si="2"/>
        <v>0</v>
      </c>
      <c r="N32" s="6">
        <f t="shared" si="3"/>
        <v>1</v>
      </c>
      <c r="O32" s="6" t="str">
        <f t="shared" si="4"/>
        <v>일반</v>
      </c>
      <c r="P32" s="7" t="str">
        <f>RawData!Q28</f>
        <v>5cm이하 침하</v>
      </c>
    </row>
    <row r="33" spans="1:16" x14ac:dyDescent="0.3">
      <c r="A33" s="6" t="str">
        <f>RIGHT(RawData!B29,2)</f>
        <v>25</v>
      </c>
      <c r="B33" s="6" t="str">
        <f>RawData!C29</f>
        <v>풍덕천로</v>
      </c>
      <c r="C33" s="6" t="str">
        <f>RawData!D29</f>
        <v>26-용인시-25</v>
      </c>
      <c r="D33" s="6" t="str">
        <f>RawData!E29</f>
        <v>양호</v>
      </c>
      <c r="E33" s="6" t="str">
        <f>RawData!F29</f>
        <v>거북등</v>
      </c>
      <c r="F33" s="6" t="str">
        <f>RawData!G29</f>
        <v>양호</v>
      </c>
      <c r="G33" s="6">
        <f>RawData!H29</f>
        <v>10.3</v>
      </c>
      <c r="H33" s="6" t="str">
        <f>RawData!I29</f>
        <v>-</v>
      </c>
      <c r="I33" s="6">
        <f t="shared" si="5"/>
        <v>0</v>
      </c>
      <c r="J33" s="6">
        <f t="shared" si="0"/>
        <v>3</v>
      </c>
      <c r="K33" s="6">
        <f t="shared" si="1"/>
        <v>0</v>
      </c>
      <c r="L33" s="6">
        <f t="shared" si="6"/>
        <v>1</v>
      </c>
      <c r="M33" s="6">
        <f t="shared" si="2"/>
        <v>0</v>
      </c>
      <c r="N33" s="6">
        <f t="shared" si="3"/>
        <v>4</v>
      </c>
      <c r="O33" s="6" t="str">
        <f t="shared" si="4"/>
        <v>일반</v>
      </c>
      <c r="P33" s="7" t="str">
        <f>RawData!Q29</f>
        <v>-</v>
      </c>
    </row>
    <row r="34" spans="1:16" x14ac:dyDescent="0.3">
      <c r="A34" s="6" t="str">
        <f>RIGHT(RawData!B30,2)</f>
        <v>26</v>
      </c>
      <c r="B34" s="6" t="str">
        <f>RawData!C30</f>
        <v>풍덕천로</v>
      </c>
      <c r="C34" s="6" t="str">
        <f>RawData!D30</f>
        <v>26-용인시-26</v>
      </c>
      <c r="D34" s="6" t="str">
        <f>RawData!E30</f>
        <v>양호</v>
      </c>
      <c r="E34" s="6" t="str">
        <f>RawData!F30</f>
        <v>거북등</v>
      </c>
      <c r="F34" s="6" t="str">
        <f>RawData!G30</f>
        <v>양호</v>
      </c>
      <c r="G34" s="6">
        <f>RawData!H30</f>
        <v>10.3</v>
      </c>
      <c r="H34" s="6" t="str">
        <f>RawData!I30</f>
        <v>-</v>
      </c>
      <c r="I34" s="6">
        <f t="shared" ref="I34:I80" si="7">IF(D34="양호",0,IF(D34="보통",3,IF(D34="불량",9)))</f>
        <v>0</v>
      </c>
      <c r="J34" s="6">
        <f t="shared" ref="J34:J80" si="8">IF(E34="거북등",3,IF(RIGHT(E34,2)="균열",1,IF(E34="-",0)))</f>
        <v>3</v>
      </c>
      <c r="K34" s="6">
        <f t="shared" ref="K34:K80" si="9">IF(F34="유출",9,IF(F34="습윤",1,IF(F34="양호",0,IF(F34="건조",0))))</f>
        <v>0</v>
      </c>
      <c r="L34" s="6">
        <f t="shared" ref="L34:L80" si="10">IF(G34&gt;=30,2,IF(G34&gt;=10,1,0))</f>
        <v>1</v>
      </c>
      <c r="M34" s="6">
        <f t="shared" ref="M34:M80" si="11">IF(H34="-",0,1)</f>
        <v>0</v>
      </c>
      <c r="N34" s="6">
        <f t="shared" ref="N34:N80" si="12">SUM(I34:M34)</f>
        <v>4</v>
      </c>
      <c r="O34" s="6" t="str">
        <f t="shared" ref="O34:O80" si="13">IF(N34&lt;6,"일반",IF(N34&lt;9,"우선",IF(N34&gt;=9,"긴급")))</f>
        <v>일반</v>
      </c>
      <c r="P34" s="7" t="str">
        <f>RawData!Q30</f>
        <v>-</v>
      </c>
    </row>
    <row r="35" spans="1:16" x14ac:dyDescent="0.3">
      <c r="A35" s="6" t="str">
        <f>RIGHT(RawData!B31,2)</f>
        <v>27</v>
      </c>
      <c r="B35" s="6" t="str">
        <f>RawData!C31</f>
        <v>풍덕천로</v>
      </c>
      <c r="C35" s="6" t="str">
        <f>RawData!D31</f>
        <v>26-용인시-27</v>
      </c>
      <c r="D35" s="6" t="str">
        <f>RawData!E31</f>
        <v>양호</v>
      </c>
      <c r="E35" s="6" t="str">
        <f>RawData!F31</f>
        <v>거북등</v>
      </c>
      <c r="F35" s="6" t="str">
        <f>RawData!G31</f>
        <v>양호</v>
      </c>
      <c r="G35" s="6">
        <f>RawData!H31</f>
        <v>10.3</v>
      </c>
      <c r="H35" s="6" t="str">
        <f>RawData!I31</f>
        <v>-</v>
      </c>
      <c r="I35" s="6">
        <f t="shared" si="7"/>
        <v>0</v>
      </c>
      <c r="J35" s="6">
        <f t="shared" si="8"/>
        <v>3</v>
      </c>
      <c r="K35" s="6">
        <f t="shared" si="9"/>
        <v>0</v>
      </c>
      <c r="L35" s="6">
        <f t="shared" si="10"/>
        <v>1</v>
      </c>
      <c r="M35" s="6">
        <f t="shared" si="11"/>
        <v>0</v>
      </c>
      <c r="N35" s="6">
        <f t="shared" si="12"/>
        <v>4</v>
      </c>
      <c r="O35" s="6" t="str">
        <f t="shared" si="13"/>
        <v>일반</v>
      </c>
      <c r="P35" s="7" t="str">
        <f>RawData!Q31</f>
        <v>-</v>
      </c>
    </row>
    <row r="36" spans="1:16" x14ac:dyDescent="0.3">
      <c r="A36" s="6" t="str">
        <f>RIGHT(RawData!B32,2)</f>
        <v>28</v>
      </c>
      <c r="B36" s="6" t="str">
        <f>RawData!C32</f>
        <v>풍덕천로</v>
      </c>
      <c r="C36" s="6" t="str">
        <f>RawData!D32</f>
        <v>26-용인시-28</v>
      </c>
      <c r="D36" s="6" t="str">
        <f>RawData!E32</f>
        <v>양호</v>
      </c>
      <c r="E36" s="6" t="str">
        <f>RawData!F32</f>
        <v>거북등</v>
      </c>
      <c r="F36" s="6" t="str">
        <f>RawData!G32</f>
        <v>양호</v>
      </c>
      <c r="G36" s="6">
        <f>RawData!H32</f>
        <v>10.3</v>
      </c>
      <c r="H36" s="6" t="str">
        <f>RawData!I32</f>
        <v>-</v>
      </c>
      <c r="I36" s="6">
        <f t="shared" si="7"/>
        <v>0</v>
      </c>
      <c r="J36" s="6">
        <f t="shared" si="8"/>
        <v>3</v>
      </c>
      <c r="K36" s="6">
        <f t="shared" si="9"/>
        <v>0</v>
      </c>
      <c r="L36" s="6">
        <f t="shared" si="10"/>
        <v>1</v>
      </c>
      <c r="M36" s="6">
        <f t="shared" si="11"/>
        <v>0</v>
      </c>
      <c r="N36" s="6">
        <f t="shared" si="12"/>
        <v>4</v>
      </c>
      <c r="O36" s="6" t="str">
        <f t="shared" si="13"/>
        <v>일반</v>
      </c>
      <c r="P36" s="7" t="str">
        <f>RawData!Q32</f>
        <v>5cm이하 침하</v>
      </c>
    </row>
    <row r="37" spans="1:16" x14ac:dyDescent="0.3">
      <c r="A37" s="6" t="str">
        <f>RIGHT(RawData!B33,2)</f>
        <v>29</v>
      </c>
      <c r="B37" s="6" t="str">
        <f>RawData!C33</f>
        <v>풍덕천로</v>
      </c>
      <c r="C37" s="6" t="str">
        <f>RawData!D33</f>
        <v>26-용인시-29</v>
      </c>
      <c r="D37" s="6" t="str">
        <f>RawData!E33</f>
        <v>양호</v>
      </c>
      <c r="E37" s="6" t="str">
        <f>RawData!F33</f>
        <v>거북등</v>
      </c>
      <c r="F37" s="6" t="str">
        <f>RawData!G33</f>
        <v>양호</v>
      </c>
      <c r="G37" s="6">
        <f>RawData!H33</f>
        <v>10.3</v>
      </c>
      <c r="H37" s="6" t="str">
        <f>RawData!I33</f>
        <v>-</v>
      </c>
      <c r="I37" s="6">
        <f t="shared" si="7"/>
        <v>0</v>
      </c>
      <c r="J37" s="6">
        <f t="shared" si="8"/>
        <v>3</v>
      </c>
      <c r="K37" s="6">
        <f t="shared" si="9"/>
        <v>0</v>
      </c>
      <c r="L37" s="6">
        <f t="shared" si="10"/>
        <v>1</v>
      </c>
      <c r="M37" s="6">
        <f t="shared" si="11"/>
        <v>0</v>
      </c>
      <c r="N37" s="6">
        <f t="shared" si="12"/>
        <v>4</v>
      </c>
      <c r="O37" s="6" t="str">
        <f t="shared" si="13"/>
        <v>일반</v>
      </c>
      <c r="P37" s="7" t="str">
        <f>RawData!Q33</f>
        <v>-</v>
      </c>
    </row>
    <row r="38" spans="1:16" x14ac:dyDescent="0.3">
      <c r="A38" s="6" t="str">
        <f>RIGHT(RawData!B34,2)</f>
        <v>30</v>
      </c>
      <c r="B38" s="6" t="str">
        <f>RawData!C34</f>
        <v>풍덕천로</v>
      </c>
      <c r="C38" s="6" t="str">
        <f>RawData!D34</f>
        <v>26-용인시-30</v>
      </c>
      <c r="D38" s="6" t="str">
        <f>RawData!E34</f>
        <v>양호</v>
      </c>
      <c r="E38" s="6" t="str">
        <f>RawData!F34</f>
        <v>거북등</v>
      </c>
      <c r="F38" s="6" t="str">
        <f>RawData!G34</f>
        <v>양호</v>
      </c>
      <c r="G38" s="6">
        <f>RawData!H34</f>
        <v>10.3</v>
      </c>
      <c r="H38" s="6" t="str">
        <f>RawData!I34</f>
        <v>-</v>
      </c>
      <c r="I38" s="6">
        <f t="shared" si="7"/>
        <v>0</v>
      </c>
      <c r="J38" s="6">
        <f t="shared" si="8"/>
        <v>3</v>
      </c>
      <c r="K38" s="6">
        <f t="shared" si="9"/>
        <v>0</v>
      </c>
      <c r="L38" s="6">
        <f t="shared" si="10"/>
        <v>1</v>
      </c>
      <c r="M38" s="6">
        <f t="shared" si="11"/>
        <v>0</v>
      </c>
      <c r="N38" s="6">
        <f t="shared" si="12"/>
        <v>4</v>
      </c>
      <c r="O38" s="6" t="str">
        <f t="shared" si="13"/>
        <v>일반</v>
      </c>
      <c r="P38" s="7" t="str">
        <f>RawData!Q34</f>
        <v>-</v>
      </c>
    </row>
    <row r="39" spans="1:16" x14ac:dyDescent="0.3">
      <c r="A39" s="6" t="str">
        <f>RIGHT(RawData!B35,2)</f>
        <v>31</v>
      </c>
      <c r="B39" s="6" t="str">
        <f>RawData!C35</f>
        <v>풍덕천로</v>
      </c>
      <c r="C39" s="6" t="str">
        <f>RawData!D35</f>
        <v>26-용인시-31</v>
      </c>
      <c r="D39" s="6" t="str">
        <f>RawData!E35</f>
        <v>양호</v>
      </c>
      <c r="E39" s="6" t="str">
        <f>RawData!F35</f>
        <v>거북등</v>
      </c>
      <c r="F39" s="6" t="str">
        <f>RawData!G35</f>
        <v>양호</v>
      </c>
      <c r="G39" s="6">
        <f>RawData!H35</f>
        <v>10.3</v>
      </c>
      <c r="H39" s="6" t="str">
        <f>RawData!I35</f>
        <v>-</v>
      </c>
      <c r="I39" s="6">
        <f t="shared" si="7"/>
        <v>0</v>
      </c>
      <c r="J39" s="6">
        <f t="shared" si="8"/>
        <v>3</v>
      </c>
      <c r="K39" s="6">
        <f t="shared" si="9"/>
        <v>0</v>
      </c>
      <c r="L39" s="6">
        <f t="shared" si="10"/>
        <v>1</v>
      </c>
      <c r="M39" s="6">
        <f t="shared" si="11"/>
        <v>0</v>
      </c>
      <c r="N39" s="6">
        <f t="shared" si="12"/>
        <v>4</v>
      </c>
      <c r="O39" s="6" t="str">
        <f t="shared" si="13"/>
        <v>일반</v>
      </c>
      <c r="P39" s="7" t="str">
        <f>RawData!Q35</f>
        <v>-</v>
      </c>
    </row>
    <row r="40" spans="1:16" x14ac:dyDescent="0.3">
      <c r="A40" s="6" t="str">
        <f>RIGHT(RawData!B36,2)</f>
        <v>32</v>
      </c>
      <c r="B40" s="6" t="str">
        <f>RawData!C36</f>
        <v>풍덕천로</v>
      </c>
      <c r="C40" s="6" t="str">
        <f>RawData!D36</f>
        <v>26-용인시-32</v>
      </c>
      <c r="D40" s="6" t="str">
        <f>RawData!E36</f>
        <v>양호</v>
      </c>
      <c r="E40" s="6" t="str">
        <f>RawData!F36</f>
        <v>거북등</v>
      </c>
      <c r="F40" s="6" t="str">
        <f>RawData!G36</f>
        <v>양호</v>
      </c>
      <c r="G40" s="6">
        <f>RawData!H36</f>
        <v>10.3</v>
      </c>
      <c r="H40" s="6" t="str">
        <f>RawData!I36</f>
        <v>-</v>
      </c>
      <c r="I40" s="6">
        <f t="shared" si="7"/>
        <v>0</v>
      </c>
      <c r="J40" s="6">
        <f t="shared" si="8"/>
        <v>3</v>
      </c>
      <c r="K40" s="6">
        <f t="shared" si="9"/>
        <v>0</v>
      </c>
      <c r="L40" s="6">
        <f t="shared" si="10"/>
        <v>1</v>
      </c>
      <c r="M40" s="6">
        <f t="shared" si="11"/>
        <v>0</v>
      </c>
      <c r="N40" s="6">
        <f t="shared" si="12"/>
        <v>4</v>
      </c>
      <c r="O40" s="6" t="str">
        <f t="shared" si="13"/>
        <v>일반</v>
      </c>
      <c r="P40" s="7" t="str">
        <f>RawData!Q36</f>
        <v>-</v>
      </c>
    </row>
    <row r="41" spans="1:16" x14ac:dyDescent="0.3">
      <c r="A41" s="6" t="str">
        <f>RIGHT(RawData!B37,2)</f>
        <v>33</v>
      </c>
      <c r="B41" s="6" t="str">
        <f>RawData!C37</f>
        <v>풍덕천로</v>
      </c>
      <c r="C41" s="6" t="str">
        <f>RawData!D37</f>
        <v>26-용인시-33</v>
      </c>
      <c r="D41" s="6" t="str">
        <f>RawData!E37</f>
        <v>양호</v>
      </c>
      <c r="E41" s="6" t="str">
        <f>RawData!F37</f>
        <v>횡균열</v>
      </c>
      <c r="F41" s="6" t="str">
        <f>RawData!G37</f>
        <v>양호</v>
      </c>
      <c r="G41" s="6">
        <f>RawData!H37</f>
        <v>10.3</v>
      </c>
      <c r="H41" s="6" t="str">
        <f>RawData!I37</f>
        <v>-</v>
      </c>
      <c r="I41" s="6">
        <f t="shared" si="7"/>
        <v>0</v>
      </c>
      <c r="J41" s="6">
        <f t="shared" si="8"/>
        <v>1</v>
      </c>
      <c r="K41" s="6">
        <f t="shared" si="9"/>
        <v>0</v>
      </c>
      <c r="L41" s="6">
        <f t="shared" si="10"/>
        <v>1</v>
      </c>
      <c r="M41" s="6">
        <f t="shared" si="11"/>
        <v>0</v>
      </c>
      <c r="N41" s="6">
        <f t="shared" si="12"/>
        <v>2</v>
      </c>
      <c r="O41" s="6" t="str">
        <f t="shared" si="13"/>
        <v>일반</v>
      </c>
      <c r="P41" s="7" t="str">
        <f>RawData!Q37</f>
        <v>-</v>
      </c>
    </row>
    <row r="42" spans="1:16" x14ac:dyDescent="0.3">
      <c r="A42" s="6" t="str">
        <f>RIGHT(RawData!B38,2)</f>
        <v>34</v>
      </c>
      <c r="B42" s="6" t="str">
        <f>RawData!C38</f>
        <v>풍덕천로</v>
      </c>
      <c r="C42" s="6" t="str">
        <f>RawData!D38</f>
        <v>26-용인시-34</v>
      </c>
      <c r="D42" s="6" t="str">
        <f>RawData!E38</f>
        <v>양호</v>
      </c>
      <c r="E42" s="6" t="str">
        <f>RawData!F38</f>
        <v>-</v>
      </c>
      <c r="F42" s="6" t="str">
        <f>RawData!G38</f>
        <v>양호</v>
      </c>
      <c r="G42" s="6">
        <f>RawData!H38</f>
        <v>10.3</v>
      </c>
      <c r="H42" s="6" t="str">
        <f>RawData!I38</f>
        <v>-</v>
      </c>
      <c r="I42" s="6">
        <f t="shared" si="7"/>
        <v>0</v>
      </c>
      <c r="J42" s="6">
        <f t="shared" si="8"/>
        <v>0</v>
      </c>
      <c r="K42" s="6">
        <f t="shared" si="9"/>
        <v>0</v>
      </c>
      <c r="L42" s="6">
        <f t="shared" si="10"/>
        <v>1</v>
      </c>
      <c r="M42" s="6">
        <f t="shared" si="11"/>
        <v>0</v>
      </c>
      <c r="N42" s="6">
        <f t="shared" si="12"/>
        <v>1</v>
      </c>
      <c r="O42" s="6" t="str">
        <f t="shared" si="13"/>
        <v>일반</v>
      </c>
      <c r="P42" s="7" t="str">
        <f>RawData!Q38</f>
        <v>-</v>
      </c>
    </row>
    <row r="43" spans="1:16" x14ac:dyDescent="0.3">
      <c r="A43" s="6" t="str">
        <f>RIGHT(RawData!B39,2)</f>
        <v>35</v>
      </c>
      <c r="B43" s="6" t="str">
        <f>RawData!C39</f>
        <v>풍덕천로</v>
      </c>
      <c r="C43" s="6" t="str">
        <f>RawData!D39</f>
        <v>26-용인시-35</v>
      </c>
      <c r="D43" s="6" t="str">
        <f>RawData!E39</f>
        <v>양호</v>
      </c>
      <c r="E43" s="6" t="str">
        <f>RawData!F39</f>
        <v>거북등</v>
      </c>
      <c r="F43" s="6" t="str">
        <f>RawData!G39</f>
        <v>양호</v>
      </c>
      <c r="G43" s="6">
        <f>RawData!H39</f>
        <v>10.3</v>
      </c>
      <c r="H43" s="6" t="str">
        <f>RawData!I39</f>
        <v>-</v>
      </c>
      <c r="I43" s="6">
        <f t="shared" si="7"/>
        <v>0</v>
      </c>
      <c r="J43" s="6">
        <f t="shared" si="8"/>
        <v>3</v>
      </c>
      <c r="K43" s="6">
        <f t="shared" si="9"/>
        <v>0</v>
      </c>
      <c r="L43" s="6">
        <f t="shared" si="10"/>
        <v>1</v>
      </c>
      <c r="M43" s="6">
        <f t="shared" si="11"/>
        <v>0</v>
      </c>
      <c r="N43" s="6">
        <f t="shared" si="12"/>
        <v>4</v>
      </c>
      <c r="O43" s="6" t="str">
        <f t="shared" si="13"/>
        <v>일반</v>
      </c>
      <c r="P43" s="7" t="str">
        <f>RawData!Q39</f>
        <v>-</v>
      </c>
    </row>
    <row r="44" spans="1:16" x14ac:dyDescent="0.3">
      <c r="A44" s="6" t="str">
        <f>RIGHT(RawData!B40,2)</f>
        <v>36</v>
      </c>
      <c r="B44" s="6" t="str">
        <f>RawData!C40</f>
        <v>풍덕천로</v>
      </c>
      <c r="C44" s="6" t="str">
        <f>RawData!D40</f>
        <v>26-용인시-36</v>
      </c>
      <c r="D44" s="6" t="str">
        <f>RawData!E40</f>
        <v>양호</v>
      </c>
      <c r="E44" s="6" t="str">
        <f>RawData!F40</f>
        <v>거북등</v>
      </c>
      <c r="F44" s="6" t="str">
        <f>RawData!G40</f>
        <v>양호</v>
      </c>
      <c r="G44" s="6">
        <f>RawData!H40</f>
        <v>10.3</v>
      </c>
      <c r="H44" s="6" t="str">
        <f>RawData!I40</f>
        <v>-</v>
      </c>
      <c r="I44" s="6">
        <f t="shared" si="7"/>
        <v>0</v>
      </c>
      <c r="J44" s="6">
        <f t="shared" si="8"/>
        <v>3</v>
      </c>
      <c r="K44" s="6">
        <f t="shared" si="9"/>
        <v>0</v>
      </c>
      <c r="L44" s="6">
        <f t="shared" si="10"/>
        <v>1</v>
      </c>
      <c r="M44" s="6">
        <f t="shared" si="11"/>
        <v>0</v>
      </c>
      <c r="N44" s="6">
        <f t="shared" si="12"/>
        <v>4</v>
      </c>
      <c r="O44" s="6" t="str">
        <f t="shared" si="13"/>
        <v>일반</v>
      </c>
      <c r="P44" s="7" t="str">
        <f>RawData!Q40</f>
        <v>-</v>
      </c>
    </row>
    <row r="45" spans="1:16" x14ac:dyDescent="0.3">
      <c r="A45" s="6" t="str">
        <f>RIGHT(RawData!B41,2)</f>
        <v>37</v>
      </c>
      <c r="B45" s="6" t="str">
        <f>RawData!C41</f>
        <v>풍덕천로</v>
      </c>
      <c r="C45" s="6" t="str">
        <f>RawData!D41</f>
        <v>26-용인시-37</v>
      </c>
      <c r="D45" s="6" t="str">
        <f>RawData!E41</f>
        <v>양호</v>
      </c>
      <c r="E45" s="6" t="str">
        <f>RawData!F41</f>
        <v>거북등</v>
      </c>
      <c r="F45" s="6" t="str">
        <f>RawData!G41</f>
        <v>양호</v>
      </c>
      <c r="G45" s="6">
        <f>RawData!H41</f>
        <v>10.3</v>
      </c>
      <c r="H45" s="6" t="str">
        <f>RawData!I41</f>
        <v>-</v>
      </c>
      <c r="I45" s="6">
        <f t="shared" si="7"/>
        <v>0</v>
      </c>
      <c r="J45" s="6">
        <f t="shared" si="8"/>
        <v>3</v>
      </c>
      <c r="K45" s="6">
        <f t="shared" si="9"/>
        <v>0</v>
      </c>
      <c r="L45" s="6">
        <f t="shared" si="10"/>
        <v>1</v>
      </c>
      <c r="M45" s="6">
        <f t="shared" si="11"/>
        <v>0</v>
      </c>
      <c r="N45" s="6">
        <f t="shared" si="12"/>
        <v>4</v>
      </c>
      <c r="O45" s="6" t="str">
        <f t="shared" si="13"/>
        <v>일반</v>
      </c>
      <c r="P45" s="7" t="str">
        <f>RawData!Q41</f>
        <v>-</v>
      </c>
    </row>
    <row r="46" spans="1:16" x14ac:dyDescent="0.3">
      <c r="A46" s="6" t="str">
        <f>RIGHT(RawData!B42,2)</f>
        <v>38</v>
      </c>
      <c r="B46" s="6" t="str">
        <f>RawData!C42</f>
        <v>풍덕천로</v>
      </c>
      <c r="C46" s="6" t="str">
        <f>RawData!D42</f>
        <v>26-용인시-38</v>
      </c>
      <c r="D46" s="6" t="str">
        <f>RawData!E42</f>
        <v>양호</v>
      </c>
      <c r="E46" s="6" t="str">
        <f>RawData!F42</f>
        <v>횡균열</v>
      </c>
      <c r="F46" s="6" t="str">
        <f>RawData!G42</f>
        <v>양호</v>
      </c>
      <c r="G46" s="6">
        <f>RawData!H42</f>
        <v>10.3</v>
      </c>
      <c r="H46" s="6" t="str">
        <f>RawData!I42</f>
        <v>-</v>
      </c>
      <c r="I46" s="6">
        <f t="shared" si="7"/>
        <v>0</v>
      </c>
      <c r="J46" s="6">
        <f t="shared" si="8"/>
        <v>1</v>
      </c>
      <c r="K46" s="6">
        <f t="shared" si="9"/>
        <v>0</v>
      </c>
      <c r="L46" s="6">
        <f t="shared" si="10"/>
        <v>1</v>
      </c>
      <c r="M46" s="6">
        <f t="shared" si="11"/>
        <v>0</v>
      </c>
      <c r="N46" s="6">
        <f t="shared" si="12"/>
        <v>2</v>
      </c>
      <c r="O46" s="6" t="str">
        <f t="shared" si="13"/>
        <v>일반</v>
      </c>
      <c r="P46" s="7" t="str">
        <f>RawData!Q42</f>
        <v>-</v>
      </c>
    </row>
    <row r="47" spans="1:16" x14ac:dyDescent="0.3">
      <c r="A47" s="6" t="str">
        <f>RIGHT(RawData!B43,2)</f>
        <v>39</v>
      </c>
      <c r="B47" s="6" t="str">
        <f>RawData!C43</f>
        <v>풍덕천로</v>
      </c>
      <c r="C47" s="6" t="str">
        <f>RawData!D43</f>
        <v>26-용인시-39</v>
      </c>
      <c r="D47" s="6" t="str">
        <f>RawData!E43</f>
        <v>양호</v>
      </c>
      <c r="E47" s="6" t="str">
        <f>RawData!F43</f>
        <v>거북등</v>
      </c>
      <c r="F47" s="6" t="str">
        <f>RawData!G43</f>
        <v>양호</v>
      </c>
      <c r="G47" s="6">
        <f>RawData!H43</f>
        <v>10.3</v>
      </c>
      <c r="H47" s="6" t="str">
        <f>RawData!I43</f>
        <v>-</v>
      </c>
      <c r="I47" s="6">
        <f t="shared" si="7"/>
        <v>0</v>
      </c>
      <c r="J47" s="6">
        <f t="shared" si="8"/>
        <v>3</v>
      </c>
      <c r="K47" s="6">
        <f t="shared" si="9"/>
        <v>0</v>
      </c>
      <c r="L47" s="6">
        <f t="shared" si="10"/>
        <v>1</v>
      </c>
      <c r="M47" s="6">
        <f t="shared" si="11"/>
        <v>0</v>
      </c>
      <c r="N47" s="6">
        <f t="shared" si="12"/>
        <v>4</v>
      </c>
      <c r="O47" s="6" t="str">
        <f t="shared" si="13"/>
        <v>일반</v>
      </c>
      <c r="P47" s="7" t="str">
        <f>RawData!Q43</f>
        <v>-</v>
      </c>
    </row>
    <row r="48" spans="1:16" x14ac:dyDescent="0.3">
      <c r="A48" s="6" t="str">
        <f>RIGHT(RawData!B44,2)</f>
        <v>40</v>
      </c>
      <c r="B48" s="6" t="str">
        <f>RawData!C44</f>
        <v>풍덕천로</v>
      </c>
      <c r="C48" s="6" t="str">
        <f>RawData!D44</f>
        <v>26-용인시-40</v>
      </c>
      <c r="D48" s="6" t="str">
        <f>RawData!E44</f>
        <v>양호</v>
      </c>
      <c r="E48" s="6" t="str">
        <f>RawData!F44</f>
        <v>횡균열</v>
      </c>
      <c r="F48" s="6" t="str">
        <f>RawData!G44</f>
        <v>양호</v>
      </c>
      <c r="G48" s="6">
        <f>RawData!H44</f>
        <v>10.3</v>
      </c>
      <c r="H48" s="6" t="str">
        <f>RawData!I44</f>
        <v>-</v>
      </c>
      <c r="I48" s="6">
        <f t="shared" si="7"/>
        <v>0</v>
      </c>
      <c r="J48" s="6">
        <f t="shared" si="8"/>
        <v>1</v>
      </c>
      <c r="K48" s="6">
        <f t="shared" si="9"/>
        <v>0</v>
      </c>
      <c r="L48" s="6">
        <f t="shared" si="10"/>
        <v>1</v>
      </c>
      <c r="M48" s="6">
        <f t="shared" si="11"/>
        <v>0</v>
      </c>
      <c r="N48" s="6">
        <f t="shared" si="12"/>
        <v>2</v>
      </c>
      <c r="O48" s="6" t="str">
        <f t="shared" si="13"/>
        <v>일반</v>
      </c>
      <c r="P48" s="7" t="str">
        <f>RawData!Q44</f>
        <v>-</v>
      </c>
    </row>
    <row r="49" spans="1:16" x14ac:dyDescent="0.3">
      <c r="A49" s="6" t="str">
        <f>RIGHT(RawData!B45,2)</f>
        <v>41</v>
      </c>
      <c r="B49" s="6" t="str">
        <f>RawData!C45</f>
        <v>수지로</v>
      </c>
      <c r="C49" s="6" t="str">
        <f>RawData!D45</f>
        <v>26-용인시-41</v>
      </c>
      <c r="D49" s="6" t="str">
        <f>RawData!E45</f>
        <v>양호</v>
      </c>
      <c r="E49" s="6" t="str">
        <f>RawData!F45</f>
        <v>거북등</v>
      </c>
      <c r="F49" s="6" t="str">
        <f>RawData!G45</f>
        <v>양호</v>
      </c>
      <c r="G49" s="6">
        <f>RawData!H45</f>
        <v>10.3</v>
      </c>
      <c r="H49" s="6" t="str">
        <f>RawData!I45</f>
        <v>-</v>
      </c>
      <c r="I49" s="6">
        <f t="shared" si="7"/>
        <v>0</v>
      </c>
      <c r="J49" s="6">
        <f t="shared" si="8"/>
        <v>3</v>
      </c>
      <c r="K49" s="6">
        <f t="shared" si="9"/>
        <v>0</v>
      </c>
      <c r="L49" s="6">
        <f t="shared" si="10"/>
        <v>1</v>
      </c>
      <c r="M49" s="6">
        <f t="shared" si="11"/>
        <v>0</v>
      </c>
      <c r="N49" s="6">
        <f t="shared" si="12"/>
        <v>4</v>
      </c>
      <c r="O49" s="6" t="str">
        <f t="shared" si="13"/>
        <v>일반</v>
      </c>
      <c r="P49" s="7" t="str">
        <f>RawData!Q45</f>
        <v>-</v>
      </c>
    </row>
    <row r="50" spans="1:16" x14ac:dyDescent="0.3">
      <c r="A50" s="6" t="str">
        <f>RIGHT(RawData!B46,2)</f>
        <v>42</v>
      </c>
      <c r="B50" s="6" t="str">
        <f>RawData!C46</f>
        <v>수지로</v>
      </c>
      <c r="C50" s="6" t="str">
        <f>RawData!D46</f>
        <v>26-용인시-42</v>
      </c>
      <c r="D50" s="6" t="str">
        <f>RawData!E46</f>
        <v>양호</v>
      </c>
      <c r="E50" s="6" t="str">
        <f>RawData!F46</f>
        <v>종횡균열</v>
      </c>
      <c r="F50" s="6" t="str">
        <f>RawData!G46</f>
        <v>양호</v>
      </c>
      <c r="G50" s="6">
        <f>RawData!H46</f>
        <v>10.3</v>
      </c>
      <c r="H50" s="6" t="str">
        <f>RawData!I46</f>
        <v>-</v>
      </c>
      <c r="I50" s="6">
        <f t="shared" si="7"/>
        <v>0</v>
      </c>
      <c r="J50" s="6">
        <f t="shared" si="8"/>
        <v>1</v>
      </c>
      <c r="K50" s="6">
        <f t="shared" si="9"/>
        <v>0</v>
      </c>
      <c r="L50" s="6">
        <f t="shared" si="10"/>
        <v>1</v>
      </c>
      <c r="M50" s="6">
        <f t="shared" si="11"/>
        <v>0</v>
      </c>
      <c r="N50" s="6">
        <f t="shared" si="12"/>
        <v>2</v>
      </c>
      <c r="O50" s="6" t="str">
        <f t="shared" si="13"/>
        <v>일반</v>
      </c>
      <c r="P50" s="7" t="str">
        <f>RawData!Q46</f>
        <v>-</v>
      </c>
    </row>
    <row r="51" spans="1:16" x14ac:dyDescent="0.3">
      <c r="A51" s="6" t="str">
        <f>RIGHT(RawData!B47,2)</f>
        <v>43</v>
      </c>
      <c r="B51" s="6" t="str">
        <f>RawData!C47</f>
        <v>수지로</v>
      </c>
      <c r="C51" s="6" t="str">
        <f>RawData!D47</f>
        <v>26-용인시-43</v>
      </c>
      <c r="D51" s="6" t="str">
        <f>RawData!E47</f>
        <v>양호</v>
      </c>
      <c r="E51" s="6" t="str">
        <f>RawData!F47</f>
        <v>거북등</v>
      </c>
      <c r="F51" s="6" t="str">
        <f>RawData!G47</f>
        <v>양호</v>
      </c>
      <c r="G51" s="6">
        <f>RawData!H47</f>
        <v>10.3</v>
      </c>
      <c r="H51" s="6" t="str">
        <f>RawData!I47</f>
        <v>-</v>
      </c>
      <c r="I51" s="6">
        <f t="shared" si="7"/>
        <v>0</v>
      </c>
      <c r="J51" s="6">
        <f t="shared" si="8"/>
        <v>3</v>
      </c>
      <c r="K51" s="6">
        <f t="shared" si="9"/>
        <v>0</v>
      </c>
      <c r="L51" s="6">
        <f t="shared" si="10"/>
        <v>1</v>
      </c>
      <c r="M51" s="6">
        <f t="shared" si="11"/>
        <v>0</v>
      </c>
      <c r="N51" s="6">
        <f t="shared" si="12"/>
        <v>4</v>
      </c>
      <c r="O51" s="6" t="str">
        <f t="shared" si="13"/>
        <v>일반</v>
      </c>
      <c r="P51" s="7" t="str">
        <f>RawData!Q47</f>
        <v>-</v>
      </c>
    </row>
    <row r="52" spans="1:16" x14ac:dyDescent="0.3">
      <c r="A52" s="6" t="str">
        <f>RIGHT(RawData!B48,2)</f>
        <v>44</v>
      </c>
      <c r="B52" s="6" t="str">
        <f>RawData!C48</f>
        <v>수지로</v>
      </c>
      <c r="C52" s="6" t="str">
        <f>RawData!D48</f>
        <v>26-용인시-44</v>
      </c>
      <c r="D52" s="6" t="str">
        <f>RawData!E48</f>
        <v>양호</v>
      </c>
      <c r="E52" s="6" t="str">
        <f>RawData!F48</f>
        <v>거북등</v>
      </c>
      <c r="F52" s="6" t="str">
        <f>RawData!G48</f>
        <v>양호</v>
      </c>
      <c r="G52" s="6">
        <f>RawData!H48</f>
        <v>10.3</v>
      </c>
      <c r="H52" s="6" t="str">
        <f>RawData!I48</f>
        <v>-</v>
      </c>
      <c r="I52" s="6">
        <f t="shared" si="7"/>
        <v>0</v>
      </c>
      <c r="J52" s="6">
        <f t="shared" si="8"/>
        <v>3</v>
      </c>
      <c r="K52" s="6">
        <f t="shared" si="9"/>
        <v>0</v>
      </c>
      <c r="L52" s="6">
        <f t="shared" si="10"/>
        <v>1</v>
      </c>
      <c r="M52" s="6">
        <f t="shared" si="11"/>
        <v>0</v>
      </c>
      <c r="N52" s="6">
        <f t="shared" si="12"/>
        <v>4</v>
      </c>
      <c r="O52" s="6" t="str">
        <f t="shared" si="13"/>
        <v>일반</v>
      </c>
      <c r="P52" s="7" t="str">
        <f>RawData!Q48</f>
        <v>-</v>
      </c>
    </row>
    <row r="53" spans="1:16" x14ac:dyDescent="0.3">
      <c r="A53" s="6" t="str">
        <f>RIGHT(RawData!B49,2)</f>
        <v>45</v>
      </c>
      <c r="B53" s="6" t="str">
        <f>RawData!C49</f>
        <v>수지로</v>
      </c>
      <c r="C53" s="6" t="str">
        <f>RawData!D49</f>
        <v>26-용인시-45</v>
      </c>
      <c r="D53" s="6" t="str">
        <f>RawData!E49</f>
        <v>양호</v>
      </c>
      <c r="E53" s="6" t="str">
        <f>RawData!F49</f>
        <v>거북등</v>
      </c>
      <c r="F53" s="6" t="str">
        <f>RawData!G49</f>
        <v>양호</v>
      </c>
      <c r="G53" s="6">
        <f>RawData!H49</f>
        <v>10.3</v>
      </c>
      <c r="H53" s="6" t="str">
        <f>RawData!I49</f>
        <v>-</v>
      </c>
      <c r="I53" s="6">
        <f t="shared" si="7"/>
        <v>0</v>
      </c>
      <c r="J53" s="6">
        <f t="shared" si="8"/>
        <v>3</v>
      </c>
      <c r="K53" s="6">
        <f t="shared" si="9"/>
        <v>0</v>
      </c>
      <c r="L53" s="6">
        <f t="shared" si="10"/>
        <v>1</v>
      </c>
      <c r="M53" s="6">
        <f t="shared" si="11"/>
        <v>0</v>
      </c>
      <c r="N53" s="6">
        <f t="shared" si="12"/>
        <v>4</v>
      </c>
      <c r="O53" s="6" t="str">
        <f t="shared" si="13"/>
        <v>일반</v>
      </c>
      <c r="P53" s="7" t="str">
        <f>RawData!Q49</f>
        <v>-</v>
      </c>
    </row>
    <row r="54" spans="1:16" x14ac:dyDescent="0.3">
      <c r="A54" s="6" t="str">
        <f>RIGHT(RawData!B50,2)</f>
        <v>46</v>
      </c>
      <c r="B54" s="6" t="str">
        <f>RawData!C50</f>
        <v>수지로</v>
      </c>
      <c r="C54" s="6" t="str">
        <f>RawData!D50</f>
        <v>26-용인시-46</v>
      </c>
      <c r="D54" s="6" t="str">
        <f>RawData!E50</f>
        <v>양호</v>
      </c>
      <c r="E54" s="6" t="str">
        <f>RawData!F50</f>
        <v>거북등</v>
      </c>
      <c r="F54" s="6" t="str">
        <f>RawData!G50</f>
        <v>양호</v>
      </c>
      <c r="G54" s="6">
        <f>RawData!H50</f>
        <v>10.3</v>
      </c>
      <c r="H54" s="6" t="str">
        <f>RawData!I50</f>
        <v>-</v>
      </c>
      <c r="I54" s="6">
        <f t="shared" si="7"/>
        <v>0</v>
      </c>
      <c r="J54" s="6">
        <f t="shared" si="8"/>
        <v>3</v>
      </c>
      <c r="K54" s="6">
        <f t="shared" si="9"/>
        <v>0</v>
      </c>
      <c r="L54" s="6">
        <f t="shared" si="10"/>
        <v>1</v>
      </c>
      <c r="M54" s="6">
        <f t="shared" si="11"/>
        <v>0</v>
      </c>
      <c r="N54" s="6">
        <f t="shared" si="12"/>
        <v>4</v>
      </c>
      <c r="O54" s="6" t="str">
        <f t="shared" si="13"/>
        <v>일반</v>
      </c>
      <c r="P54" s="7" t="str">
        <f>RawData!Q50</f>
        <v>-</v>
      </c>
    </row>
    <row r="55" spans="1:16" x14ac:dyDescent="0.3">
      <c r="A55" s="6" t="str">
        <f>RIGHT(RawData!B51,2)</f>
        <v>47</v>
      </c>
      <c r="B55" s="6" t="str">
        <f>RawData!C51</f>
        <v>수지로</v>
      </c>
      <c r="C55" s="6" t="str">
        <f>RawData!D51</f>
        <v>26-용인시-47</v>
      </c>
      <c r="D55" s="6" t="str">
        <f>RawData!E51</f>
        <v>양호</v>
      </c>
      <c r="E55" s="6" t="str">
        <f>RawData!F51</f>
        <v>종균열</v>
      </c>
      <c r="F55" s="6" t="str">
        <f>RawData!G51</f>
        <v>양호</v>
      </c>
      <c r="G55" s="6">
        <f>RawData!H51</f>
        <v>10.3</v>
      </c>
      <c r="H55" s="6" t="str">
        <f>RawData!I51</f>
        <v>-</v>
      </c>
      <c r="I55" s="6">
        <f t="shared" si="7"/>
        <v>0</v>
      </c>
      <c r="J55" s="6">
        <f t="shared" si="8"/>
        <v>1</v>
      </c>
      <c r="K55" s="6">
        <f t="shared" si="9"/>
        <v>0</v>
      </c>
      <c r="L55" s="6">
        <f t="shared" si="10"/>
        <v>1</v>
      </c>
      <c r="M55" s="6">
        <f t="shared" si="11"/>
        <v>0</v>
      </c>
      <c r="N55" s="6">
        <f t="shared" si="12"/>
        <v>2</v>
      </c>
      <c r="O55" s="6" t="str">
        <f t="shared" si="13"/>
        <v>일반</v>
      </c>
      <c r="P55" s="7" t="str">
        <f>RawData!Q51</f>
        <v>-</v>
      </c>
    </row>
    <row r="56" spans="1:16" x14ac:dyDescent="0.3">
      <c r="A56" s="6" t="str">
        <f>RIGHT(RawData!B52,2)</f>
        <v>48</v>
      </c>
      <c r="B56" s="6" t="str">
        <f>RawData!C52</f>
        <v>수지로</v>
      </c>
      <c r="C56" s="6" t="str">
        <f>RawData!D52</f>
        <v>26-용인시-48</v>
      </c>
      <c r="D56" s="6" t="str">
        <f>RawData!E52</f>
        <v>양호</v>
      </c>
      <c r="E56" s="6" t="str">
        <f>RawData!F52</f>
        <v>-</v>
      </c>
      <c r="F56" s="6" t="str">
        <f>RawData!G52</f>
        <v>양호</v>
      </c>
      <c r="G56" s="6">
        <f>RawData!H52</f>
        <v>10.3</v>
      </c>
      <c r="H56" s="6" t="str">
        <f>RawData!I52</f>
        <v>-</v>
      </c>
      <c r="I56" s="6">
        <f t="shared" si="7"/>
        <v>0</v>
      </c>
      <c r="J56" s="6">
        <f t="shared" si="8"/>
        <v>0</v>
      </c>
      <c r="K56" s="6">
        <f t="shared" si="9"/>
        <v>0</v>
      </c>
      <c r="L56" s="6">
        <f t="shared" si="10"/>
        <v>1</v>
      </c>
      <c r="M56" s="6">
        <f t="shared" si="11"/>
        <v>0</v>
      </c>
      <c r="N56" s="6">
        <f t="shared" si="12"/>
        <v>1</v>
      </c>
      <c r="O56" s="6" t="str">
        <f t="shared" si="13"/>
        <v>일반</v>
      </c>
      <c r="P56" s="7" t="str">
        <f>RawData!Q52</f>
        <v>5cm이하 침하</v>
      </c>
    </row>
    <row r="57" spans="1:16" x14ac:dyDescent="0.3">
      <c r="A57" s="6" t="str">
        <f>RIGHT(RawData!B53,2)</f>
        <v>49</v>
      </c>
      <c r="B57" s="6" t="str">
        <f>RawData!C53</f>
        <v>수지로</v>
      </c>
      <c r="C57" s="6" t="str">
        <f>RawData!D53</f>
        <v>26-용인시-49</v>
      </c>
      <c r="D57" s="6" t="str">
        <f>RawData!E53</f>
        <v>양호</v>
      </c>
      <c r="E57" s="6" t="str">
        <f>RawData!F53</f>
        <v>종횡균열</v>
      </c>
      <c r="F57" s="6" t="str">
        <f>RawData!G53</f>
        <v>양호</v>
      </c>
      <c r="G57" s="6">
        <f>RawData!H53</f>
        <v>10.3</v>
      </c>
      <c r="H57" s="6" t="str">
        <f>RawData!I53</f>
        <v>-</v>
      </c>
      <c r="I57" s="6">
        <f t="shared" si="7"/>
        <v>0</v>
      </c>
      <c r="J57" s="6">
        <f t="shared" si="8"/>
        <v>1</v>
      </c>
      <c r="K57" s="6">
        <f t="shared" si="9"/>
        <v>0</v>
      </c>
      <c r="L57" s="6">
        <f t="shared" si="10"/>
        <v>1</v>
      </c>
      <c r="M57" s="6">
        <f t="shared" si="11"/>
        <v>0</v>
      </c>
      <c r="N57" s="6">
        <f t="shared" si="12"/>
        <v>2</v>
      </c>
      <c r="O57" s="6" t="str">
        <f t="shared" si="13"/>
        <v>일반</v>
      </c>
      <c r="P57" s="7" t="str">
        <f>RawData!Q53</f>
        <v>-</v>
      </c>
    </row>
    <row r="58" spans="1:16" x14ac:dyDescent="0.3">
      <c r="A58" s="6" t="str">
        <f>RIGHT(RawData!B54,2)</f>
        <v>50</v>
      </c>
      <c r="B58" s="6" t="str">
        <f>RawData!C54</f>
        <v>수지로</v>
      </c>
      <c r="C58" s="6" t="str">
        <f>RawData!D54</f>
        <v>26-용인시-50</v>
      </c>
      <c r="D58" s="6" t="str">
        <f>RawData!E54</f>
        <v>양호</v>
      </c>
      <c r="E58" s="6" t="str">
        <f>RawData!F54</f>
        <v>-</v>
      </c>
      <c r="F58" s="6" t="str">
        <f>RawData!G54</f>
        <v>양호</v>
      </c>
      <c r="G58" s="6">
        <f>RawData!H54</f>
        <v>10.3</v>
      </c>
      <c r="H58" s="6" t="str">
        <f>RawData!I54</f>
        <v>-</v>
      </c>
      <c r="I58" s="6">
        <f t="shared" si="7"/>
        <v>0</v>
      </c>
      <c r="J58" s="6">
        <f t="shared" si="8"/>
        <v>0</v>
      </c>
      <c r="K58" s="6">
        <f t="shared" si="9"/>
        <v>0</v>
      </c>
      <c r="L58" s="6">
        <f t="shared" si="10"/>
        <v>1</v>
      </c>
      <c r="M58" s="6">
        <f t="shared" si="11"/>
        <v>0</v>
      </c>
      <c r="N58" s="6">
        <f t="shared" si="12"/>
        <v>1</v>
      </c>
      <c r="O58" s="6" t="str">
        <f t="shared" si="13"/>
        <v>일반</v>
      </c>
      <c r="P58" s="7" t="str">
        <f>RawData!Q54</f>
        <v>5cm이하 침하</v>
      </c>
    </row>
    <row r="59" spans="1:16" x14ac:dyDescent="0.3">
      <c r="A59" s="6" t="str">
        <f>RIGHT(RawData!B55,2)</f>
        <v>51</v>
      </c>
      <c r="B59" s="6" t="str">
        <f>RawData!C55</f>
        <v>수지로</v>
      </c>
      <c r="C59" s="6" t="str">
        <f>RawData!D55</f>
        <v>26-용인시-51</v>
      </c>
      <c r="D59" s="6" t="str">
        <f>RawData!E55</f>
        <v>양호</v>
      </c>
      <c r="E59" s="6" t="str">
        <f>RawData!F55</f>
        <v>거북등</v>
      </c>
      <c r="F59" s="6" t="str">
        <f>RawData!G55</f>
        <v>양호</v>
      </c>
      <c r="G59" s="6">
        <f>RawData!H55</f>
        <v>10.3</v>
      </c>
      <c r="H59" s="6" t="str">
        <f>RawData!I55</f>
        <v>-</v>
      </c>
      <c r="I59" s="6">
        <f t="shared" si="7"/>
        <v>0</v>
      </c>
      <c r="J59" s="6">
        <f t="shared" si="8"/>
        <v>3</v>
      </c>
      <c r="K59" s="6">
        <f t="shared" si="9"/>
        <v>0</v>
      </c>
      <c r="L59" s="6">
        <f t="shared" si="10"/>
        <v>1</v>
      </c>
      <c r="M59" s="6">
        <f t="shared" si="11"/>
        <v>0</v>
      </c>
      <c r="N59" s="6">
        <f t="shared" si="12"/>
        <v>4</v>
      </c>
      <c r="O59" s="6" t="str">
        <f t="shared" si="13"/>
        <v>일반</v>
      </c>
      <c r="P59" s="7" t="str">
        <f>RawData!Q55</f>
        <v>-</v>
      </c>
    </row>
    <row r="60" spans="1:16" x14ac:dyDescent="0.3">
      <c r="A60" s="6" t="str">
        <f>RIGHT(RawData!B56,2)</f>
        <v>52</v>
      </c>
      <c r="B60" s="6" t="str">
        <f>RawData!C56</f>
        <v>수지로</v>
      </c>
      <c r="C60" s="6" t="str">
        <f>RawData!D56</f>
        <v>26-용인시-52</v>
      </c>
      <c r="D60" s="6" t="str">
        <f>RawData!E56</f>
        <v>양호</v>
      </c>
      <c r="E60" s="6" t="str">
        <f>RawData!F56</f>
        <v>거북등</v>
      </c>
      <c r="F60" s="6" t="str">
        <f>RawData!G56</f>
        <v>양호</v>
      </c>
      <c r="G60" s="6">
        <f>RawData!H56</f>
        <v>10.3</v>
      </c>
      <c r="H60" s="6" t="str">
        <f>RawData!I56</f>
        <v>-</v>
      </c>
      <c r="I60" s="6">
        <f t="shared" si="7"/>
        <v>0</v>
      </c>
      <c r="J60" s="6">
        <f t="shared" si="8"/>
        <v>3</v>
      </c>
      <c r="K60" s="6">
        <f t="shared" si="9"/>
        <v>0</v>
      </c>
      <c r="L60" s="6">
        <f t="shared" si="10"/>
        <v>1</v>
      </c>
      <c r="M60" s="6">
        <f t="shared" si="11"/>
        <v>0</v>
      </c>
      <c r="N60" s="6">
        <f t="shared" si="12"/>
        <v>4</v>
      </c>
      <c r="O60" s="6" t="str">
        <f t="shared" si="13"/>
        <v>일반</v>
      </c>
      <c r="P60" s="7" t="str">
        <f>RawData!Q56</f>
        <v>-</v>
      </c>
    </row>
    <row r="61" spans="1:16" x14ac:dyDescent="0.3">
      <c r="A61" s="6" t="str">
        <f>RIGHT(RawData!B57,2)</f>
        <v>53</v>
      </c>
      <c r="B61" s="6" t="str">
        <f>RawData!C57</f>
        <v>수지로</v>
      </c>
      <c r="C61" s="6" t="str">
        <f>RawData!D57</f>
        <v>26-용인시-53</v>
      </c>
      <c r="D61" s="6" t="str">
        <f>RawData!E57</f>
        <v>양호</v>
      </c>
      <c r="E61" s="6" t="str">
        <f>RawData!F57</f>
        <v>거북등</v>
      </c>
      <c r="F61" s="6" t="str">
        <f>RawData!G57</f>
        <v>양호</v>
      </c>
      <c r="G61" s="6">
        <f>RawData!H57</f>
        <v>10.3</v>
      </c>
      <c r="H61" s="6" t="str">
        <f>RawData!I57</f>
        <v>-</v>
      </c>
      <c r="I61" s="6">
        <f t="shared" si="7"/>
        <v>0</v>
      </c>
      <c r="J61" s="6">
        <f t="shared" si="8"/>
        <v>3</v>
      </c>
      <c r="K61" s="6">
        <f t="shared" si="9"/>
        <v>0</v>
      </c>
      <c r="L61" s="6">
        <f t="shared" si="10"/>
        <v>1</v>
      </c>
      <c r="M61" s="6">
        <f t="shared" si="11"/>
        <v>0</v>
      </c>
      <c r="N61" s="6">
        <f t="shared" si="12"/>
        <v>4</v>
      </c>
      <c r="O61" s="6" t="str">
        <f t="shared" si="13"/>
        <v>일반</v>
      </c>
      <c r="P61" s="7" t="str">
        <f>RawData!Q57</f>
        <v>-</v>
      </c>
    </row>
    <row r="62" spans="1:16" x14ac:dyDescent="0.3">
      <c r="A62" s="6" t="str">
        <f>RIGHT(RawData!B58,2)</f>
        <v>54</v>
      </c>
      <c r="B62" s="6" t="str">
        <f>RawData!C58</f>
        <v>수지로</v>
      </c>
      <c r="C62" s="6" t="str">
        <f>RawData!D58</f>
        <v>26-용인시-54</v>
      </c>
      <c r="D62" s="6" t="str">
        <f>RawData!E58</f>
        <v>양호</v>
      </c>
      <c r="E62" s="6" t="str">
        <f>RawData!F58</f>
        <v>-</v>
      </c>
      <c r="F62" s="6" t="str">
        <f>RawData!G58</f>
        <v>양호</v>
      </c>
      <c r="G62" s="6">
        <f>RawData!H58</f>
        <v>10.3</v>
      </c>
      <c r="H62" s="6" t="str">
        <f>RawData!I58</f>
        <v>-</v>
      </c>
      <c r="I62" s="6">
        <f t="shared" si="7"/>
        <v>0</v>
      </c>
      <c r="J62" s="6">
        <f t="shared" si="8"/>
        <v>0</v>
      </c>
      <c r="K62" s="6">
        <f t="shared" si="9"/>
        <v>0</v>
      </c>
      <c r="L62" s="6">
        <f t="shared" si="10"/>
        <v>1</v>
      </c>
      <c r="M62" s="6">
        <f t="shared" si="11"/>
        <v>0</v>
      </c>
      <c r="N62" s="6">
        <f t="shared" si="12"/>
        <v>1</v>
      </c>
      <c r="O62" s="6" t="str">
        <f t="shared" si="13"/>
        <v>일반</v>
      </c>
      <c r="P62" s="7" t="str">
        <f>RawData!Q58</f>
        <v>5cm이하 침하</v>
      </c>
    </row>
    <row r="63" spans="1:16" x14ac:dyDescent="0.3">
      <c r="A63" s="6" t="str">
        <f>RIGHT(RawData!B59,2)</f>
        <v>55</v>
      </c>
      <c r="B63" s="6" t="str">
        <f>RawData!C59</f>
        <v>수지로</v>
      </c>
      <c r="C63" s="6" t="str">
        <f>RawData!D59</f>
        <v>26-용인시-55</v>
      </c>
      <c r="D63" s="6" t="str">
        <f>RawData!E59</f>
        <v>양호</v>
      </c>
      <c r="E63" s="6" t="str">
        <f>RawData!F59</f>
        <v>거북등</v>
      </c>
      <c r="F63" s="6" t="str">
        <f>RawData!G59</f>
        <v>양호</v>
      </c>
      <c r="G63" s="6">
        <f>RawData!H59</f>
        <v>10.3</v>
      </c>
      <c r="H63" s="6" t="str">
        <f>RawData!I59</f>
        <v>-</v>
      </c>
      <c r="I63" s="6">
        <f t="shared" si="7"/>
        <v>0</v>
      </c>
      <c r="J63" s="6">
        <f t="shared" si="8"/>
        <v>3</v>
      </c>
      <c r="K63" s="6">
        <f t="shared" si="9"/>
        <v>0</v>
      </c>
      <c r="L63" s="6">
        <f t="shared" si="10"/>
        <v>1</v>
      </c>
      <c r="M63" s="6">
        <f t="shared" si="11"/>
        <v>0</v>
      </c>
      <c r="N63" s="6">
        <f t="shared" si="12"/>
        <v>4</v>
      </c>
      <c r="O63" s="6" t="str">
        <f t="shared" si="13"/>
        <v>일반</v>
      </c>
      <c r="P63" s="7" t="str">
        <f>RawData!Q59</f>
        <v>-</v>
      </c>
    </row>
    <row r="64" spans="1:16" x14ac:dyDescent="0.3">
      <c r="A64" s="6" t="str">
        <f>RIGHT(RawData!B60,2)</f>
        <v>56</v>
      </c>
      <c r="B64" s="6" t="str">
        <f>RawData!C60</f>
        <v>수지로</v>
      </c>
      <c r="C64" s="6" t="str">
        <f>RawData!D60</f>
        <v>26-용인시-56</v>
      </c>
      <c r="D64" s="6" t="str">
        <f>RawData!E60</f>
        <v>양호</v>
      </c>
      <c r="E64" s="6" t="str">
        <f>RawData!F60</f>
        <v>거북등</v>
      </c>
      <c r="F64" s="6" t="str">
        <f>RawData!G60</f>
        <v>양호</v>
      </c>
      <c r="G64" s="6">
        <f>RawData!H60</f>
        <v>10.3</v>
      </c>
      <c r="H64" s="6" t="str">
        <f>RawData!I60</f>
        <v>-</v>
      </c>
      <c r="I64" s="6">
        <f t="shared" si="7"/>
        <v>0</v>
      </c>
      <c r="J64" s="6">
        <f t="shared" si="8"/>
        <v>3</v>
      </c>
      <c r="K64" s="6">
        <f t="shared" si="9"/>
        <v>0</v>
      </c>
      <c r="L64" s="6">
        <f t="shared" si="10"/>
        <v>1</v>
      </c>
      <c r="M64" s="6">
        <f t="shared" si="11"/>
        <v>0</v>
      </c>
      <c r="N64" s="6">
        <f t="shared" si="12"/>
        <v>4</v>
      </c>
      <c r="O64" s="6" t="str">
        <f t="shared" si="13"/>
        <v>일반</v>
      </c>
      <c r="P64" s="7" t="str">
        <f>RawData!Q60</f>
        <v>-</v>
      </c>
    </row>
    <row r="65" spans="1:16" x14ac:dyDescent="0.3">
      <c r="A65" s="6" t="str">
        <f>RIGHT(RawData!B61,2)</f>
        <v>57</v>
      </c>
      <c r="B65" s="6" t="str">
        <f>RawData!C61</f>
        <v>수지로</v>
      </c>
      <c r="C65" s="6" t="str">
        <f>RawData!D61</f>
        <v>26-용인시-57</v>
      </c>
      <c r="D65" s="6" t="str">
        <f>RawData!E61</f>
        <v>양호</v>
      </c>
      <c r="E65" s="6" t="str">
        <f>RawData!F61</f>
        <v>거북등</v>
      </c>
      <c r="F65" s="6" t="str">
        <f>RawData!G61</f>
        <v>양호</v>
      </c>
      <c r="G65" s="6">
        <f>RawData!H61</f>
        <v>10.3</v>
      </c>
      <c r="H65" s="6" t="str">
        <f>RawData!I61</f>
        <v>-</v>
      </c>
      <c r="I65" s="6">
        <f t="shared" si="7"/>
        <v>0</v>
      </c>
      <c r="J65" s="6">
        <f t="shared" si="8"/>
        <v>3</v>
      </c>
      <c r="K65" s="6">
        <f t="shared" si="9"/>
        <v>0</v>
      </c>
      <c r="L65" s="6">
        <f t="shared" si="10"/>
        <v>1</v>
      </c>
      <c r="M65" s="6">
        <f t="shared" si="11"/>
        <v>0</v>
      </c>
      <c r="N65" s="6">
        <f t="shared" si="12"/>
        <v>4</v>
      </c>
      <c r="O65" s="6" t="str">
        <f t="shared" si="13"/>
        <v>일반</v>
      </c>
      <c r="P65" s="7" t="str">
        <f>RawData!Q61</f>
        <v>-</v>
      </c>
    </row>
    <row r="66" spans="1:16" x14ac:dyDescent="0.3">
      <c r="A66" s="6" t="str">
        <f>RIGHT(RawData!B62,2)</f>
        <v>58</v>
      </c>
      <c r="B66" s="6" t="str">
        <f>RawData!C62</f>
        <v>수지로</v>
      </c>
      <c r="C66" s="6" t="str">
        <f>RawData!D62</f>
        <v>26-용인시-58</v>
      </c>
      <c r="D66" s="6" t="str">
        <f>RawData!E62</f>
        <v>양호</v>
      </c>
      <c r="E66" s="6" t="str">
        <f>RawData!F62</f>
        <v>거북등</v>
      </c>
      <c r="F66" s="6" t="str">
        <f>RawData!G62</f>
        <v>양호</v>
      </c>
      <c r="G66" s="6">
        <f>RawData!H62</f>
        <v>10.3</v>
      </c>
      <c r="H66" s="6" t="str">
        <f>RawData!I62</f>
        <v>-</v>
      </c>
      <c r="I66" s="6">
        <f t="shared" si="7"/>
        <v>0</v>
      </c>
      <c r="J66" s="6">
        <f t="shared" si="8"/>
        <v>3</v>
      </c>
      <c r="K66" s="6">
        <f t="shared" si="9"/>
        <v>0</v>
      </c>
      <c r="L66" s="6">
        <f t="shared" si="10"/>
        <v>1</v>
      </c>
      <c r="M66" s="6">
        <f t="shared" si="11"/>
        <v>0</v>
      </c>
      <c r="N66" s="6">
        <f t="shared" si="12"/>
        <v>4</v>
      </c>
      <c r="O66" s="6" t="str">
        <f t="shared" si="13"/>
        <v>일반</v>
      </c>
      <c r="P66" s="7" t="str">
        <f>RawData!Q62</f>
        <v>-</v>
      </c>
    </row>
    <row r="67" spans="1:16" x14ac:dyDescent="0.3">
      <c r="A67" s="6" t="str">
        <f>RIGHT(RawData!B63,2)</f>
        <v>59</v>
      </c>
      <c r="B67" s="6" t="str">
        <f>RawData!C63</f>
        <v>광교중앙로</v>
      </c>
      <c r="C67" s="6" t="str">
        <f>RawData!D63</f>
        <v>26-용인시-59</v>
      </c>
      <c r="D67" s="6" t="str">
        <f>RawData!E63</f>
        <v>양호</v>
      </c>
      <c r="E67" s="6" t="str">
        <f>RawData!F63</f>
        <v>종균열</v>
      </c>
      <c r="F67" s="6" t="str">
        <f>RawData!G63</f>
        <v>양호</v>
      </c>
      <c r="G67" s="6">
        <f>RawData!H63</f>
        <v>10.3</v>
      </c>
      <c r="H67" s="6" t="str">
        <f>RawData!I63</f>
        <v>-</v>
      </c>
      <c r="I67" s="6">
        <f t="shared" si="7"/>
        <v>0</v>
      </c>
      <c r="J67" s="6">
        <f t="shared" si="8"/>
        <v>1</v>
      </c>
      <c r="K67" s="6">
        <f t="shared" si="9"/>
        <v>0</v>
      </c>
      <c r="L67" s="6">
        <f t="shared" si="10"/>
        <v>1</v>
      </c>
      <c r="M67" s="6">
        <f t="shared" si="11"/>
        <v>0</v>
      </c>
      <c r="N67" s="6">
        <f t="shared" si="12"/>
        <v>2</v>
      </c>
      <c r="O67" s="6" t="str">
        <f t="shared" si="13"/>
        <v>일반</v>
      </c>
      <c r="P67" s="7" t="str">
        <f>RawData!Q63</f>
        <v>-</v>
      </c>
    </row>
    <row r="68" spans="1:16" x14ac:dyDescent="0.3">
      <c r="A68" s="6" t="str">
        <f>RIGHT(RawData!B64,2)</f>
        <v>60</v>
      </c>
      <c r="B68" s="6" t="str">
        <f>RawData!C64</f>
        <v>광교중앙로</v>
      </c>
      <c r="C68" s="6" t="str">
        <f>RawData!D64</f>
        <v>26-용인시-60</v>
      </c>
      <c r="D68" s="6" t="str">
        <f>RawData!E64</f>
        <v>양호</v>
      </c>
      <c r="E68" s="6" t="str">
        <f>RawData!F64</f>
        <v>거북등</v>
      </c>
      <c r="F68" s="6" t="str">
        <f>RawData!G64</f>
        <v>양호</v>
      </c>
      <c r="G68" s="6">
        <f>RawData!H64</f>
        <v>10.3</v>
      </c>
      <c r="H68" s="6" t="str">
        <f>RawData!I64</f>
        <v>-</v>
      </c>
      <c r="I68" s="6">
        <f t="shared" si="7"/>
        <v>0</v>
      </c>
      <c r="J68" s="6">
        <f t="shared" si="8"/>
        <v>3</v>
      </c>
      <c r="K68" s="6">
        <f t="shared" si="9"/>
        <v>0</v>
      </c>
      <c r="L68" s="6">
        <f t="shared" si="10"/>
        <v>1</v>
      </c>
      <c r="M68" s="6">
        <f t="shared" si="11"/>
        <v>0</v>
      </c>
      <c r="N68" s="6">
        <f t="shared" si="12"/>
        <v>4</v>
      </c>
      <c r="O68" s="6" t="str">
        <f t="shared" si="13"/>
        <v>일반</v>
      </c>
      <c r="P68" s="7" t="str">
        <f>RawData!Q64</f>
        <v>-</v>
      </c>
    </row>
    <row r="69" spans="1:16" x14ac:dyDescent="0.3">
      <c r="A69" s="6" t="str">
        <f>RIGHT(RawData!B65,2)</f>
        <v>61</v>
      </c>
      <c r="B69" s="6" t="str">
        <f>RawData!C65</f>
        <v>광교중앙로</v>
      </c>
      <c r="C69" s="6" t="str">
        <f>RawData!D65</f>
        <v>26-용인시-61</v>
      </c>
      <c r="D69" s="6" t="str">
        <f>RawData!E65</f>
        <v>양호</v>
      </c>
      <c r="E69" s="6" t="str">
        <f>RawData!F65</f>
        <v>거북등</v>
      </c>
      <c r="F69" s="6" t="str">
        <f>RawData!G65</f>
        <v>양호</v>
      </c>
      <c r="G69" s="6">
        <f>RawData!H65</f>
        <v>10.3</v>
      </c>
      <c r="H69" s="6" t="str">
        <f>RawData!I65</f>
        <v>-</v>
      </c>
      <c r="I69" s="6">
        <f t="shared" si="7"/>
        <v>0</v>
      </c>
      <c r="J69" s="6">
        <f t="shared" si="8"/>
        <v>3</v>
      </c>
      <c r="K69" s="6">
        <f t="shared" si="9"/>
        <v>0</v>
      </c>
      <c r="L69" s="6">
        <f t="shared" si="10"/>
        <v>1</v>
      </c>
      <c r="M69" s="6">
        <f t="shared" si="11"/>
        <v>0</v>
      </c>
      <c r="N69" s="6">
        <f t="shared" si="12"/>
        <v>4</v>
      </c>
      <c r="O69" s="6" t="str">
        <f t="shared" si="13"/>
        <v>일반</v>
      </c>
      <c r="P69" s="7" t="str">
        <f>RawData!Q65</f>
        <v>-</v>
      </c>
    </row>
    <row r="70" spans="1:16" x14ac:dyDescent="0.3">
      <c r="A70" s="6" t="str">
        <f>RIGHT(RawData!B66,2)</f>
        <v>62</v>
      </c>
      <c r="B70" s="6" t="str">
        <f>RawData!C66</f>
        <v>광교중앙로</v>
      </c>
      <c r="C70" s="6" t="str">
        <f>RawData!D66</f>
        <v>26-용인시-62</v>
      </c>
      <c r="D70" s="6" t="str">
        <f>RawData!E66</f>
        <v>양호</v>
      </c>
      <c r="E70" s="6" t="str">
        <f>RawData!F66</f>
        <v>종균열</v>
      </c>
      <c r="F70" s="6" t="str">
        <f>RawData!G66</f>
        <v>양호</v>
      </c>
      <c r="G70" s="6">
        <f>RawData!H66</f>
        <v>10.3</v>
      </c>
      <c r="H70" s="6" t="str">
        <f>RawData!I66</f>
        <v>-</v>
      </c>
      <c r="I70" s="6">
        <f t="shared" si="7"/>
        <v>0</v>
      </c>
      <c r="J70" s="6">
        <f t="shared" si="8"/>
        <v>1</v>
      </c>
      <c r="K70" s="6">
        <f t="shared" si="9"/>
        <v>0</v>
      </c>
      <c r="L70" s="6">
        <f t="shared" si="10"/>
        <v>1</v>
      </c>
      <c r="M70" s="6">
        <f t="shared" si="11"/>
        <v>0</v>
      </c>
      <c r="N70" s="6">
        <f t="shared" si="12"/>
        <v>2</v>
      </c>
      <c r="O70" s="6" t="str">
        <f t="shared" si="13"/>
        <v>일반</v>
      </c>
      <c r="P70" s="7" t="str">
        <f>RawData!Q66</f>
        <v>-</v>
      </c>
    </row>
    <row r="71" spans="1:16" x14ac:dyDescent="0.3">
      <c r="A71" s="6" t="str">
        <f>RIGHT(RawData!B67,2)</f>
        <v>63</v>
      </c>
      <c r="B71" s="6" t="str">
        <f>RawData!C67</f>
        <v>광교중앙로</v>
      </c>
      <c r="C71" s="6" t="str">
        <f>RawData!D67</f>
        <v>26-용인시-63</v>
      </c>
      <c r="D71" s="6" t="str">
        <f>RawData!E67</f>
        <v>양호</v>
      </c>
      <c r="E71" s="6" t="str">
        <f>RawData!F67</f>
        <v>-</v>
      </c>
      <c r="F71" s="6" t="str">
        <f>RawData!G67</f>
        <v>양호</v>
      </c>
      <c r="G71" s="6">
        <f>RawData!H67</f>
        <v>10.3</v>
      </c>
      <c r="H71" s="6" t="str">
        <f>RawData!I67</f>
        <v>-</v>
      </c>
      <c r="I71" s="6">
        <f t="shared" si="7"/>
        <v>0</v>
      </c>
      <c r="J71" s="6">
        <f t="shared" si="8"/>
        <v>0</v>
      </c>
      <c r="K71" s="6">
        <f t="shared" si="9"/>
        <v>0</v>
      </c>
      <c r="L71" s="6">
        <f t="shared" si="10"/>
        <v>1</v>
      </c>
      <c r="M71" s="6">
        <f t="shared" si="11"/>
        <v>0</v>
      </c>
      <c r="N71" s="6">
        <f t="shared" si="12"/>
        <v>1</v>
      </c>
      <c r="O71" s="6" t="str">
        <f t="shared" si="13"/>
        <v>일반</v>
      </c>
      <c r="P71" s="7" t="str">
        <f>RawData!Q67</f>
        <v>5cm이하 보도침하</v>
      </c>
    </row>
    <row r="72" spans="1:16" x14ac:dyDescent="0.3">
      <c r="A72" s="6" t="str">
        <f>RIGHT(RawData!B68,2)</f>
        <v>64</v>
      </c>
      <c r="B72" s="6" t="str">
        <f>RawData!C68</f>
        <v>광교중앙로</v>
      </c>
      <c r="C72" s="6" t="str">
        <f>RawData!D68</f>
        <v>26-용인시-64</v>
      </c>
      <c r="D72" s="6" t="str">
        <f>RawData!E68</f>
        <v>양호</v>
      </c>
      <c r="E72" s="6" t="str">
        <f>RawData!F68</f>
        <v>거북등</v>
      </c>
      <c r="F72" s="6" t="str">
        <f>RawData!G68</f>
        <v>양호</v>
      </c>
      <c r="G72" s="6">
        <f>RawData!H68</f>
        <v>10.3</v>
      </c>
      <c r="H72" s="6" t="str">
        <f>RawData!I68</f>
        <v>-</v>
      </c>
      <c r="I72" s="6">
        <f t="shared" si="7"/>
        <v>0</v>
      </c>
      <c r="J72" s="6">
        <f t="shared" si="8"/>
        <v>3</v>
      </c>
      <c r="K72" s="6">
        <f t="shared" si="9"/>
        <v>0</v>
      </c>
      <c r="L72" s="6">
        <f t="shared" si="10"/>
        <v>1</v>
      </c>
      <c r="M72" s="6">
        <f t="shared" si="11"/>
        <v>0</v>
      </c>
      <c r="N72" s="6">
        <f t="shared" si="12"/>
        <v>4</v>
      </c>
      <c r="O72" s="6" t="str">
        <f t="shared" si="13"/>
        <v>일반</v>
      </c>
      <c r="P72" s="7" t="str">
        <f>RawData!Q68</f>
        <v>-</v>
      </c>
    </row>
    <row r="73" spans="1:16" x14ac:dyDescent="0.3">
      <c r="A73" s="6" t="str">
        <f>RIGHT(RawData!B69,2)</f>
        <v>65</v>
      </c>
      <c r="B73" s="6" t="str">
        <f>RawData!C69</f>
        <v>광교중앙로</v>
      </c>
      <c r="C73" s="6" t="str">
        <f>RawData!D69</f>
        <v>26-용인시-65</v>
      </c>
      <c r="D73" s="6" t="str">
        <f>RawData!E69</f>
        <v>양호</v>
      </c>
      <c r="E73" s="6" t="str">
        <f>RawData!F69</f>
        <v>거북등</v>
      </c>
      <c r="F73" s="6" t="str">
        <f>RawData!G69</f>
        <v>양호</v>
      </c>
      <c r="G73" s="6">
        <f>RawData!H69</f>
        <v>10.3</v>
      </c>
      <c r="H73" s="6" t="str">
        <f>RawData!I69</f>
        <v>-</v>
      </c>
      <c r="I73" s="6">
        <f t="shared" si="7"/>
        <v>0</v>
      </c>
      <c r="J73" s="6">
        <f t="shared" si="8"/>
        <v>3</v>
      </c>
      <c r="K73" s="6">
        <f t="shared" si="9"/>
        <v>0</v>
      </c>
      <c r="L73" s="6">
        <f t="shared" si="10"/>
        <v>1</v>
      </c>
      <c r="M73" s="6">
        <f t="shared" si="11"/>
        <v>0</v>
      </c>
      <c r="N73" s="6">
        <f t="shared" si="12"/>
        <v>4</v>
      </c>
      <c r="O73" s="6" t="str">
        <f t="shared" si="13"/>
        <v>일반</v>
      </c>
      <c r="P73" s="7" t="str">
        <f>RawData!Q69</f>
        <v>-</v>
      </c>
    </row>
    <row r="74" spans="1:16" x14ac:dyDescent="0.3">
      <c r="A74" s="6" t="str">
        <f>RIGHT(RawData!B70,2)</f>
        <v>66</v>
      </c>
      <c r="B74" s="6" t="str">
        <f>RawData!C70</f>
        <v>광교중앙로</v>
      </c>
      <c r="C74" s="6" t="str">
        <f>RawData!D70</f>
        <v>26-용인시-66</v>
      </c>
      <c r="D74" s="6" t="str">
        <f>RawData!E70</f>
        <v>양호</v>
      </c>
      <c r="E74" s="6" t="str">
        <f>RawData!F70</f>
        <v>거북등</v>
      </c>
      <c r="F74" s="6" t="str">
        <f>RawData!G70</f>
        <v>양호</v>
      </c>
      <c r="G74" s="6">
        <f>RawData!H70</f>
        <v>10.3</v>
      </c>
      <c r="H74" s="6" t="str">
        <f>RawData!I70</f>
        <v>-</v>
      </c>
      <c r="I74" s="6">
        <f t="shared" si="7"/>
        <v>0</v>
      </c>
      <c r="J74" s="6">
        <f t="shared" si="8"/>
        <v>3</v>
      </c>
      <c r="K74" s="6">
        <f t="shared" si="9"/>
        <v>0</v>
      </c>
      <c r="L74" s="6">
        <f t="shared" si="10"/>
        <v>1</v>
      </c>
      <c r="M74" s="6">
        <f t="shared" si="11"/>
        <v>0</v>
      </c>
      <c r="N74" s="6">
        <f t="shared" si="12"/>
        <v>4</v>
      </c>
      <c r="O74" s="6" t="str">
        <f t="shared" si="13"/>
        <v>일반</v>
      </c>
      <c r="P74" s="7" t="str">
        <f>RawData!Q70</f>
        <v>-</v>
      </c>
    </row>
    <row r="75" spans="1:16" x14ac:dyDescent="0.3">
      <c r="A75" s="6" t="str">
        <f>RIGHT(RawData!B71,2)</f>
        <v>67</v>
      </c>
      <c r="B75" s="6" t="str">
        <f>RawData!C71</f>
        <v>광교중앙로</v>
      </c>
      <c r="C75" s="6" t="str">
        <f>RawData!D71</f>
        <v>26-용인시-67</v>
      </c>
      <c r="D75" s="6" t="str">
        <f>RawData!E71</f>
        <v>양호</v>
      </c>
      <c r="E75" s="6" t="str">
        <f>RawData!F71</f>
        <v>거북등</v>
      </c>
      <c r="F75" s="6" t="str">
        <f>RawData!G71</f>
        <v>양호</v>
      </c>
      <c r="G75" s="6">
        <f>RawData!H71</f>
        <v>10.3</v>
      </c>
      <c r="H75" s="6" t="str">
        <f>RawData!I71</f>
        <v>-</v>
      </c>
      <c r="I75" s="6">
        <f t="shared" si="7"/>
        <v>0</v>
      </c>
      <c r="J75" s="6">
        <f t="shared" si="8"/>
        <v>3</v>
      </c>
      <c r="K75" s="6">
        <f t="shared" si="9"/>
        <v>0</v>
      </c>
      <c r="L75" s="6">
        <f t="shared" si="10"/>
        <v>1</v>
      </c>
      <c r="M75" s="6">
        <f t="shared" si="11"/>
        <v>0</v>
      </c>
      <c r="N75" s="6">
        <f t="shared" si="12"/>
        <v>4</v>
      </c>
      <c r="O75" s="6" t="str">
        <f t="shared" si="13"/>
        <v>일반</v>
      </c>
      <c r="P75" s="7" t="str">
        <f>RawData!Q71</f>
        <v>5cm이하 침하</v>
      </c>
    </row>
    <row r="76" spans="1:16" x14ac:dyDescent="0.3">
      <c r="A76" s="6" t="str">
        <f>RIGHT(RawData!B72,2)</f>
        <v>68</v>
      </c>
      <c r="B76" s="6" t="str">
        <f>RawData!C72</f>
        <v>광교중앙로</v>
      </c>
      <c r="C76" s="6" t="str">
        <f>RawData!D72</f>
        <v>26-용인시-68</v>
      </c>
      <c r="D76" s="6" t="str">
        <f>RawData!E72</f>
        <v>양호</v>
      </c>
      <c r="E76" s="6" t="str">
        <f>RawData!F72</f>
        <v>거북등</v>
      </c>
      <c r="F76" s="6" t="str">
        <f>RawData!G72</f>
        <v>양호</v>
      </c>
      <c r="G76" s="6">
        <f>RawData!H72</f>
        <v>10.3</v>
      </c>
      <c r="H76" s="6" t="str">
        <f>RawData!I72</f>
        <v>-</v>
      </c>
      <c r="I76" s="6">
        <f t="shared" si="7"/>
        <v>0</v>
      </c>
      <c r="J76" s="6">
        <f t="shared" si="8"/>
        <v>3</v>
      </c>
      <c r="K76" s="6">
        <f t="shared" si="9"/>
        <v>0</v>
      </c>
      <c r="L76" s="6">
        <f t="shared" si="10"/>
        <v>1</v>
      </c>
      <c r="M76" s="6">
        <f t="shared" si="11"/>
        <v>0</v>
      </c>
      <c r="N76" s="6">
        <f t="shared" si="12"/>
        <v>4</v>
      </c>
      <c r="O76" s="6" t="str">
        <f t="shared" si="13"/>
        <v>일반</v>
      </c>
      <c r="P76" s="7" t="str">
        <f>RawData!Q72</f>
        <v>-</v>
      </c>
    </row>
    <row r="77" spans="1:16" x14ac:dyDescent="0.3">
      <c r="A77" s="6" t="str">
        <f>RIGHT(RawData!B73,2)</f>
        <v>69</v>
      </c>
      <c r="B77" s="6" t="str">
        <f>RawData!C73</f>
        <v>광교중앙로</v>
      </c>
      <c r="C77" s="6" t="str">
        <f>RawData!D73</f>
        <v>26-용인시-69</v>
      </c>
      <c r="D77" s="6" t="str">
        <f>RawData!E73</f>
        <v>양호</v>
      </c>
      <c r="E77" s="6" t="str">
        <f>RawData!F73</f>
        <v>거북등</v>
      </c>
      <c r="F77" s="6" t="str">
        <f>RawData!G73</f>
        <v>양호</v>
      </c>
      <c r="G77" s="6">
        <f>RawData!H73</f>
        <v>10.3</v>
      </c>
      <c r="H77" s="6" t="str">
        <f>RawData!I73</f>
        <v>-</v>
      </c>
      <c r="I77" s="6">
        <f t="shared" si="7"/>
        <v>0</v>
      </c>
      <c r="J77" s="6">
        <f t="shared" si="8"/>
        <v>3</v>
      </c>
      <c r="K77" s="6">
        <f t="shared" si="9"/>
        <v>0</v>
      </c>
      <c r="L77" s="6">
        <f t="shared" si="10"/>
        <v>1</v>
      </c>
      <c r="M77" s="6">
        <f t="shared" si="11"/>
        <v>0</v>
      </c>
      <c r="N77" s="6">
        <f t="shared" si="12"/>
        <v>4</v>
      </c>
      <c r="O77" s="6" t="str">
        <f t="shared" si="13"/>
        <v>일반</v>
      </c>
      <c r="P77" s="7" t="str">
        <f>RawData!Q73</f>
        <v>-</v>
      </c>
    </row>
    <row r="78" spans="1:16" x14ac:dyDescent="0.3">
      <c r="A78" s="6" t="str">
        <f>RIGHT(RawData!B74,2)</f>
        <v>70</v>
      </c>
      <c r="B78" s="6" t="str">
        <f>RawData!C74</f>
        <v>광교중앙로</v>
      </c>
      <c r="C78" s="6" t="str">
        <f>RawData!D74</f>
        <v>26-용인시-70</v>
      </c>
      <c r="D78" s="6" t="str">
        <f>RawData!E74</f>
        <v>양호</v>
      </c>
      <c r="E78" s="6" t="str">
        <f>RawData!F74</f>
        <v>-</v>
      </c>
      <c r="F78" s="6" t="str">
        <f>RawData!G74</f>
        <v>양호</v>
      </c>
      <c r="G78" s="6">
        <f>RawData!H74</f>
        <v>10.3</v>
      </c>
      <c r="H78" s="6" t="str">
        <f>RawData!I74</f>
        <v>-</v>
      </c>
      <c r="I78" s="6">
        <f t="shared" si="7"/>
        <v>0</v>
      </c>
      <c r="J78" s="6">
        <f t="shared" si="8"/>
        <v>0</v>
      </c>
      <c r="K78" s="6">
        <f t="shared" si="9"/>
        <v>0</v>
      </c>
      <c r="L78" s="6">
        <f t="shared" si="10"/>
        <v>1</v>
      </c>
      <c r="M78" s="6">
        <f t="shared" si="11"/>
        <v>0</v>
      </c>
      <c r="N78" s="6">
        <f t="shared" si="12"/>
        <v>1</v>
      </c>
      <c r="O78" s="6" t="str">
        <f t="shared" si="13"/>
        <v>일반</v>
      </c>
      <c r="P78" s="7" t="str">
        <f>RawData!Q74</f>
        <v>-</v>
      </c>
    </row>
    <row r="79" spans="1:16" x14ac:dyDescent="0.3">
      <c r="A79" s="6" t="str">
        <f>RIGHT(RawData!B75,2)</f>
        <v>71</v>
      </c>
      <c r="B79" s="6" t="str">
        <f>RawData!C75</f>
        <v>광교중앙로</v>
      </c>
      <c r="C79" s="6" t="str">
        <f>RawData!D75</f>
        <v>26-용인시-71</v>
      </c>
      <c r="D79" s="6" t="str">
        <f>RawData!E75</f>
        <v>양호</v>
      </c>
      <c r="E79" s="6" t="str">
        <f>RawData!F75</f>
        <v>거북등</v>
      </c>
      <c r="F79" s="6" t="str">
        <f>RawData!G75</f>
        <v>양호</v>
      </c>
      <c r="G79" s="6">
        <f>RawData!H75</f>
        <v>10.3</v>
      </c>
      <c r="H79" s="6" t="str">
        <f>RawData!I75</f>
        <v>-</v>
      </c>
      <c r="I79" s="6">
        <f t="shared" si="7"/>
        <v>0</v>
      </c>
      <c r="J79" s="6">
        <f t="shared" si="8"/>
        <v>3</v>
      </c>
      <c r="K79" s="6">
        <f t="shared" si="9"/>
        <v>0</v>
      </c>
      <c r="L79" s="6">
        <f t="shared" si="10"/>
        <v>1</v>
      </c>
      <c r="M79" s="6">
        <f t="shared" si="11"/>
        <v>0</v>
      </c>
      <c r="N79" s="6">
        <f t="shared" si="12"/>
        <v>4</v>
      </c>
      <c r="O79" s="6" t="str">
        <f t="shared" si="13"/>
        <v>일반</v>
      </c>
      <c r="P79" s="7" t="str">
        <f>RawData!Q75</f>
        <v>-</v>
      </c>
    </row>
    <row r="80" spans="1:16" x14ac:dyDescent="0.3">
      <c r="A80" s="6" t="str">
        <f>RIGHT(RawData!B76,2)</f>
        <v>72</v>
      </c>
      <c r="B80" s="6" t="str">
        <f>RawData!C76</f>
        <v>광교중앙로</v>
      </c>
      <c r="C80" s="6" t="str">
        <f>RawData!D76</f>
        <v>26-용인시-72</v>
      </c>
      <c r="D80" s="6" t="str">
        <f>RawData!E76</f>
        <v>양호</v>
      </c>
      <c r="E80" s="6" t="str">
        <f>RawData!F76</f>
        <v>종균열</v>
      </c>
      <c r="F80" s="6" t="str">
        <f>RawData!G76</f>
        <v>양호</v>
      </c>
      <c r="G80" s="6">
        <f>RawData!H76</f>
        <v>10.3</v>
      </c>
      <c r="H80" s="6" t="str">
        <f>RawData!I76</f>
        <v>-</v>
      </c>
      <c r="I80" s="6">
        <f t="shared" si="7"/>
        <v>0</v>
      </c>
      <c r="J80" s="6">
        <f t="shared" si="8"/>
        <v>1</v>
      </c>
      <c r="K80" s="6">
        <f t="shared" si="9"/>
        <v>0</v>
      </c>
      <c r="L80" s="6">
        <f t="shared" si="10"/>
        <v>1</v>
      </c>
      <c r="M80" s="6">
        <f t="shared" si="11"/>
        <v>0</v>
      </c>
      <c r="N80" s="6">
        <f t="shared" si="12"/>
        <v>2</v>
      </c>
      <c r="O80" s="6" t="str">
        <f t="shared" si="13"/>
        <v>일반</v>
      </c>
      <c r="P80" s="7" t="str">
        <f>RawData!Q76</f>
        <v>-</v>
      </c>
    </row>
  </sheetData>
  <mergeCells count="20">
    <mergeCell ref="O7:O8"/>
    <mergeCell ref="P7:P8"/>
    <mergeCell ref="A7:A8"/>
    <mergeCell ref="B7:B8"/>
    <mergeCell ref="C7:C8"/>
    <mergeCell ref="D7:H7"/>
    <mergeCell ref="I7:M7"/>
    <mergeCell ref="N7:N8"/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</mergeCells>
  <phoneticPr fontId="2" type="noConversion"/>
  <pageMargins left="0.7" right="0.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2026-06-12T02:54:54Z</dcterms:modified>
</cp:coreProperties>
</file>