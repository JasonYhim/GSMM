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05 내 문서 모음\01. 업무관련 문서양식\017 지하안전점검(지하안전법) 관련\■ 연도별 지하안전점검(육안점검) 결과보고서\2026년 지하안전점검 보고서\"/>
    </mc:Choice>
  </mc:AlternateContent>
  <xr:revisionPtr revIDLastSave="0" documentId="13_ncr:1_{747A81C9-E2BB-4346-8AA2-E1591C8572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Data" sheetId="1" r:id="rId1"/>
    <sheet name="V2" sheetId="2" r:id="rId2"/>
  </sheets>
  <definedNames>
    <definedName name="_xlnm.Print_Area" localSheetId="1">'V2'!$A$1:$P$32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2" i="2" l="1"/>
  <c r="H32" i="2"/>
  <c r="M32" i="2" s="1"/>
  <c r="G32" i="2"/>
  <c r="L32" i="2" s="1"/>
  <c r="F32" i="2"/>
  <c r="K32" i="2" s="1"/>
  <c r="E32" i="2"/>
  <c r="J32" i="2" s="1"/>
  <c r="D32" i="2"/>
  <c r="I32" i="2" s="1"/>
  <c r="C32" i="2"/>
  <c r="B32" i="2"/>
  <c r="A32" i="2"/>
  <c r="P31" i="2"/>
  <c r="H31" i="2"/>
  <c r="M31" i="2" s="1"/>
  <c r="G31" i="2"/>
  <c r="L31" i="2" s="1"/>
  <c r="F31" i="2"/>
  <c r="K31" i="2" s="1"/>
  <c r="E31" i="2"/>
  <c r="J31" i="2" s="1"/>
  <c r="D31" i="2"/>
  <c r="I31" i="2" s="1"/>
  <c r="C31" i="2"/>
  <c r="B31" i="2"/>
  <c r="A31" i="2"/>
  <c r="P30" i="2"/>
  <c r="H30" i="2"/>
  <c r="M30" i="2" s="1"/>
  <c r="G30" i="2"/>
  <c r="L30" i="2" s="1"/>
  <c r="F30" i="2"/>
  <c r="K30" i="2" s="1"/>
  <c r="E30" i="2"/>
  <c r="J30" i="2" s="1"/>
  <c r="D30" i="2"/>
  <c r="I30" i="2" s="1"/>
  <c r="N30" i="2" s="1"/>
  <c r="O30" i="2" s="1"/>
  <c r="C30" i="2"/>
  <c r="B30" i="2"/>
  <c r="A30" i="2"/>
  <c r="P29" i="2"/>
  <c r="H29" i="2"/>
  <c r="M29" i="2" s="1"/>
  <c r="G29" i="2"/>
  <c r="L29" i="2" s="1"/>
  <c r="F29" i="2"/>
  <c r="K29" i="2" s="1"/>
  <c r="E29" i="2"/>
  <c r="J29" i="2" s="1"/>
  <c r="D29" i="2"/>
  <c r="I29" i="2" s="1"/>
  <c r="C29" i="2"/>
  <c r="B29" i="2"/>
  <c r="A29" i="2"/>
  <c r="P28" i="2"/>
  <c r="H28" i="2"/>
  <c r="M28" i="2" s="1"/>
  <c r="G28" i="2"/>
  <c r="L28" i="2" s="1"/>
  <c r="F28" i="2"/>
  <c r="K28" i="2" s="1"/>
  <c r="E28" i="2"/>
  <c r="J28" i="2" s="1"/>
  <c r="D28" i="2"/>
  <c r="I28" i="2" s="1"/>
  <c r="C28" i="2"/>
  <c r="B28" i="2"/>
  <c r="A28" i="2"/>
  <c r="P27" i="2"/>
  <c r="H27" i="2"/>
  <c r="M27" i="2" s="1"/>
  <c r="G27" i="2"/>
  <c r="L27" i="2" s="1"/>
  <c r="F27" i="2"/>
  <c r="K27" i="2" s="1"/>
  <c r="E27" i="2"/>
  <c r="J27" i="2" s="1"/>
  <c r="D27" i="2"/>
  <c r="I27" i="2" s="1"/>
  <c r="C27" i="2"/>
  <c r="B27" i="2"/>
  <c r="A27" i="2"/>
  <c r="P26" i="2"/>
  <c r="H26" i="2"/>
  <c r="M26" i="2" s="1"/>
  <c r="G26" i="2"/>
  <c r="L26" i="2" s="1"/>
  <c r="F26" i="2"/>
  <c r="K26" i="2" s="1"/>
  <c r="E26" i="2"/>
  <c r="J26" i="2" s="1"/>
  <c r="D26" i="2"/>
  <c r="I26" i="2" s="1"/>
  <c r="C26" i="2"/>
  <c r="B26" i="2"/>
  <c r="A26" i="2"/>
  <c r="P25" i="2"/>
  <c r="H25" i="2"/>
  <c r="M25" i="2" s="1"/>
  <c r="G25" i="2"/>
  <c r="L25" i="2" s="1"/>
  <c r="F25" i="2"/>
  <c r="K25" i="2" s="1"/>
  <c r="E25" i="2"/>
  <c r="D25" i="2"/>
  <c r="C25" i="2"/>
  <c r="B25" i="2"/>
  <c r="A25" i="2"/>
  <c r="P24" i="2"/>
  <c r="H24" i="2"/>
  <c r="M24" i="2" s="1"/>
  <c r="G24" i="2"/>
  <c r="L24" i="2" s="1"/>
  <c r="F24" i="2"/>
  <c r="K24" i="2" s="1"/>
  <c r="E24" i="2"/>
  <c r="J24" i="2" s="1"/>
  <c r="D24" i="2"/>
  <c r="C24" i="2"/>
  <c r="B24" i="2"/>
  <c r="A24" i="2"/>
  <c r="P23" i="2"/>
  <c r="H23" i="2"/>
  <c r="M23" i="2" s="1"/>
  <c r="G23" i="2"/>
  <c r="L23" i="2" s="1"/>
  <c r="F23" i="2"/>
  <c r="K23" i="2" s="1"/>
  <c r="E23" i="2"/>
  <c r="J23" i="2" s="1"/>
  <c r="D23" i="2"/>
  <c r="I23" i="2" s="1"/>
  <c r="C23" i="2"/>
  <c r="B23" i="2"/>
  <c r="A23" i="2"/>
  <c r="P22" i="2"/>
  <c r="H22" i="2"/>
  <c r="M22" i="2" s="1"/>
  <c r="G22" i="2"/>
  <c r="L22" i="2" s="1"/>
  <c r="F22" i="2"/>
  <c r="K22" i="2" s="1"/>
  <c r="E22" i="2"/>
  <c r="J22" i="2" s="1"/>
  <c r="D22" i="2"/>
  <c r="I22" i="2" s="1"/>
  <c r="C22" i="2"/>
  <c r="B22" i="2"/>
  <c r="A22" i="2"/>
  <c r="P21" i="2"/>
  <c r="H21" i="2"/>
  <c r="M21" i="2" s="1"/>
  <c r="G21" i="2"/>
  <c r="F21" i="2"/>
  <c r="K21" i="2" s="1"/>
  <c r="E21" i="2"/>
  <c r="J21" i="2" s="1"/>
  <c r="D21" i="2"/>
  <c r="I21" i="2" s="1"/>
  <c r="C21" i="2"/>
  <c r="B21" i="2"/>
  <c r="A21" i="2"/>
  <c r="P20" i="2"/>
  <c r="H20" i="2"/>
  <c r="M20" i="2" s="1"/>
  <c r="G20" i="2"/>
  <c r="L20" i="2" s="1"/>
  <c r="F20" i="2"/>
  <c r="K20" i="2" s="1"/>
  <c r="E20" i="2"/>
  <c r="J20" i="2" s="1"/>
  <c r="D20" i="2"/>
  <c r="I20" i="2" s="1"/>
  <c r="C20" i="2"/>
  <c r="B20" i="2"/>
  <c r="A20" i="2"/>
  <c r="P19" i="2"/>
  <c r="H19" i="2"/>
  <c r="M19" i="2" s="1"/>
  <c r="G19" i="2"/>
  <c r="L19" i="2" s="1"/>
  <c r="F19" i="2"/>
  <c r="K19" i="2" s="1"/>
  <c r="E19" i="2"/>
  <c r="J19" i="2" s="1"/>
  <c r="D19" i="2"/>
  <c r="I19" i="2" s="1"/>
  <c r="C19" i="2"/>
  <c r="B19" i="2"/>
  <c r="A19" i="2"/>
  <c r="P18" i="2"/>
  <c r="H18" i="2"/>
  <c r="M18" i="2" s="1"/>
  <c r="G18" i="2"/>
  <c r="L18" i="2" s="1"/>
  <c r="F18" i="2"/>
  <c r="K18" i="2" s="1"/>
  <c r="E18" i="2"/>
  <c r="J18" i="2" s="1"/>
  <c r="D18" i="2"/>
  <c r="I18" i="2" s="1"/>
  <c r="N18" i="2" s="1"/>
  <c r="O18" i="2" s="1"/>
  <c r="C18" i="2"/>
  <c r="B18" i="2"/>
  <c r="A18" i="2"/>
  <c r="P17" i="2"/>
  <c r="H17" i="2"/>
  <c r="M17" i="2" s="1"/>
  <c r="G17" i="2"/>
  <c r="L17" i="2" s="1"/>
  <c r="F17" i="2"/>
  <c r="K17" i="2" s="1"/>
  <c r="E17" i="2"/>
  <c r="J17" i="2" s="1"/>
  <c r="D17" i="2"/>
  <c r="I17" i="2" s="1"/>
  <c r="C17" i="2"/>
  <c r="B17" i="2"/>
  <c r="A17" i="2"/>
  <c r="P16" i="2"/>
  <c r="H16" i="2"/>
  <c r="M16" i="2" s="1"/>
  <c r="G16" i="2"/>
  <c r="L16" i="2" s="1"/>
  <c r="F16" i="2"/>
  <c r="K16" i="2" s="1"/>
  <c r="E16" i="2"/>
  <c r="J16" i="2" s="1"/>
  <c r="D16" i="2"/>
  <c r="I16" i="2" s="1"/>
  <c r="C16" i="2"/>
  <c r="B16" i="2"/>
  <c r="A16" i="2"/>
  <c r="P15" i="2"/>
  <c r="H15" i="2"/>
  <c r="M15" i="2" s="1"/>
  <c r="G15" i="2"/>
  <c r="L15" i="2" s="1"/>
  <c r="F15" i="2"/>
  <c r="E15" i="2"/>
  <c r="D15" i="2"/>
  <c r="C15" i="2"/>
  <c r="B15" i="2"/>
  <c r="A15" i="2"/>
  <c r="P14" i="2"/>
  <c r="H14" i="2"/>
  <c r="M14" i="2" s="1"/>
  <c r="G14" i="2"/>
  <c r="L14" i="2" s="1"/>
  <c r="F14" i="2"/>
  <c r="K14" i="2" s="1"/>
  <c r="E14" i="2"/>
  <c r="J14" i="2" s="1"/>
  <c r="D14" i="2"/>
  <c r="I14" i="2" s="1"/>
  <c r="C14" i="2"/>
  <c r="B14" i="2"/>
  <c r="A14" i="2"/>
  <c r="P13" i="2"/>
  <c r="H13" i="2"/>
  <c r="M13" i="2" s="1"/>
  <c r="G13" i="2"/>
  <c r="F13" i="2"/>
  <c r="K13" i="2" s="1"/>
  <c r="E13" i="2"/>
  <c r="J13" i="2" s="1"/>
  <c r="D13" i="2"/>
  <c r="I13" i="2" s="1"/>
  <c r="C13" i="2"/>
  <c r="B13" i="2"/>
  <c r="A13" i="2"/>
  <c r="P12" i="2"/>
  <c r="H12" i="2"/>
  <c r="M12" i="2" s="1"/>
  <c r="G12" i="2"/>
  <c r="L12" i="2" s="1"/>
  <c r="F12" i="2"/>
  <c r="K12" i="2" s="1"/>
  <c r="E12" i="2"/>
  <c r="J12" i="2" s="1"/>
  <c r="D12" i="2"/>
  <c r="I12" i="2" s="1"/>
  <c r="C12" i="2"/>
  <c r="B12" i="2"/>
  <c r="A12" i="2"/>
  <c r="P11" i="2"/>
  <c r="H11" i="2"/>
  <c r="M11" i="2" s="1"/>
  <c r="G11" i="2"/>
  <c r="L11" i="2" s="1"/>
  <c r="F11" i="2"/>
  <c r="K11" i="2" s="1"/>
  <c r="E11" i="2"/>
  <c r="J11" i="2" s="1"/>
  <c r="D11" i="2"/>
  <c r="I11" i="2" s="1"/>
  <c r="C11" i="2"/>
  <c r="B11" i="2"/>
  <c r="A11" i="2"/>
  <c r="P10" i="2"/>
  <c r="H10" i="2"/>
  <c r="M10" i="2" s="1"/>
  <c r="G10" i="2"/>
  <c r="L10" i="2" s="1"/>
  <c r="F10" i="2"/>
  <c r="K10" i="2" s="1"/>
  <c r="E10" i="2"/>
  <c r="J10" i="2" s="1"/>
  <c r="D10" i="2"/>
  <c r="I10" i="2" s="1"/>
  <c r="N10" i="2" s="1"/>
  <c r="O10" i="2" s="1"/>
  <c r="C10" i="2"/>
  <c r="B10" i="2"/>
  <c r="A10" i="2"/>
  <c r="P9" i="2"/>
  <c r="H9" i="2"/>
  <c r="M9" i="2" s="1"/>
  <c r="G9" i="2"/>
  <c r="L9" i="2" s="1"/>
  <c r="F9" i="2"/>
  <c r="K9" i="2" s="1"/>
  <c r="E9" i="2"/>
  <c r="J9" i="2" s="1"/>
  <c r="D9" i="2"/>
  <c r="I9" i="2" s="1"/>
  <c r="C9" i="2"/>
  <c r="B9" i="2"/>
  <c r="A9" i="2"/>
  <c r="J5" i="2"/>
  <c r="C5" i="2"/>
  <c r="J25" i="2"/>
  <c r="I25" i="2"/>
  <c r="I24" i="2"/>
  <c r="L21" i="2"/>
  <c r="K15" i="2"/>
  <c r="J15" i="2"/>
  <c r="I15" i="2"/>
  <c r="L13" i="2"/>
  <c r="N25" i="2" l="1"/>
  <c r="O25" i="2" s="1"/>
  <c r="N13" i="2"/>
  <c r="O13" i="2" s="1"/>
  <c r="N22" i="2"/>
  <c r="O22" i="2" s="1"/>
  <c r="N16" i="2"/>
  <c r="O16" i="2" s="1"/>
  <c r="N9" i="2"/>
  <c r="O9" i="2" s="1"/>
  <c r="N21" i="2"/>
  <c r="O21" i="2" s="1"/>
  <c r="N23" i="2"/>
  <c r="O23" i="2" s="1"/>
  <c r="N28" i="2"/>
  <c r="O28" i="2" s="1"/>
  <c r="N15" i="2"/>
  <c r="O15" i="2" s="1"/>
  <c r="N31" i="2"/>
  <c r="O31" i="2" s="1"/>
  <c r="N12" i="2"/>
  <c r="O12" i="2" s="1"/>
  <c r="N14" i="2"/>
  <c r="O14" i="2" s="1"/>
  <c r="N27" i="2"/>
  <c r="O27" i="2" s="1"/>
  <c r="N11" i="2"/>
  <c r="O11" i="2" s="1"/>
  <c r="N20" i="2"/>
  <c r="O20" i="2" s="1"/>
  <c r="N17" i="2"/>
  <c r="O17" i="2" s="1"/>
  <c r="N24" i="2"/>
  <c r="O24" i="2" s="1"/>
  <c r="N32" i="2"/>
  <c r="O32" i="2" s="1"/>
  <c r="N29" i="2"/>
  <c r="O29" i="2" s="1"/>
  <c r="N26" i="2"/>
  <c r="O26" i="2" s="1"/>
  <c r="N19" i="2"/>
  <c r="O19" i="2" s="1"/>
</calcChain>
</file>

<file path=xl/sharedStrings.xml><?xml version="1.0" encoding="utf-8"?>
<sst xmlns="http://schemas.openxmlformats.org/spreadsheetml/2006/main" count="510" uniqueCount="149">
  <si>
    <t>시행년도</t>
  </si>
  <si>
    <t>시행사 구분</t>
  </si>
  <si>
    <t>권역구 구분</t>
  </si>
  <si>
    <t>강남구</t>
  </si>
  <si>
    <t>순번</t>
  </si>
  <si>
    <t>조사측선명</t>
  </si>
  <si>
    <t>손상구분번호</t>
  </si>
  <si>
    <t>침하(mm)</t>
  </si>
  <si>
    <t>균열</t>
  </si>
  <si>
    <t>습윤</t>
  </si>
  <si>
    <t>노후도(년)</t>
  </si>
  <si>
    <t>지반침하발생이력</t>
  </si>
  <si>
    <t>침하점수</t>
  </si>
  <si>
    <t>균열점수</t>
  </si>
  <si>
    <t>습윤점수</t>
  </si>
  <si>
    <t>노후도점수</t>
  </si>
  <si>
    <t>보수보강이력</t>
  </si>
  <si>
    <t>평가점수</t>
  </si>
  <si>
    <t>평가등급</t>
  </si>
  <si>
    <t>조사자의견</t>
  </si>
  <si>
    <t>인접지번주소</t>
  </si>
  <si>
    <t>조사위치도</t>
  </si>
  <si>
    <t>부가정보1</t>
  </si>
  <si>
    <t>부가정보2</t>
  </si>
  <si>
    <t>강남대로</t>
  </si>
  <si>
    <t>양호</t>
  </si>
  <si>
    <t>거북등</t>
  </si>
  <si>
    <t>-</t>
  </si>
  <si>
    <t>일반</t>
  </si>
  <si>
    <t/>
  </si>
  <si>
    <t>5cm미만 침하</t>
  </si>
  <si>
    <t>종균열</t>
  </si>
  <si>
    <t>26-01</t>
  </si>
  <si>
    <t>26-강남구-01</t>
  </si>
  <si>
    <t>3</t>
  </si>
  <si>
    <t>0</t>
  </si>
  <si>
    <t>신사동501</t>
  </si>
  <si>
    <t>신사역 #6번출구 앞도로(강남대로616)</t>
  </si>
  <si>
    <t>26-02</t>
  </si>
  <si>
    <t>26-강남구-02</t>
  </si>
  <si>
    <t>논현동1</t>
  </si>
  <si>
    <t>삼주빌딩 앞도로(강남대로606)</t>
  </si>
  <si>
    <t>26-03</t>
  </si>
  <si>
    <t>26-강남구-03</t>
  </si>
  <si>
    <t>논현동17-4</t>
  </si>
  <si>
    <t>보림빌딩 청기와타운_신사점 앞도로(강남대로598)</t>
  </si>
  <si>
    <t>26-04</t>
  </si>
  <si>
    <t>26-강남구-04</t>
  </si>
  <si>
    <t>논현동18-3</t>
  </si>
  <si>
    <t>제이빌딩 NHN벅스 앞도로(강남대로586)</t>
  </si>
  <si>
    <t>26-05</t>
  </si>
  <si>
    <t>26-강남구-05</t>
  </si>
  <si>
    <t>논현동19</t>
  </si>
  <si>
    <t>기아_강남영동지점 앞도로(강남대로580)</t>
  </si>
  <si>
    <t>26-06</t>
  </si>
  <si>
    <t>26-강남구-06</t>
  </si>
  <si>
    <t>논현동19-7</t>
  </si>
  <si>
    <t>전기공사공제조합회관 앞도로(강남대로574)</t>
  </si>
  <si>
    <t>26-07</t>
  </si>
  <si>
    <t>26-강남구-07</t>
  </si>
  <si>
    <t>논현동49</t>
  </si>
  <si>
    <t>선양빌딩 앞 도로(강남대로570)</t>
  </si>
  <si>
    <t>26-08</t>
  </si>
  <si>
    <t>26-강남구-08</t>
  </si>
  <si>
    <t>논현동49-4</t>
  </si>
  <si>
    <t>신영와코루빌딩 앞 도로(강남대로566)</t>
  </si>
  <si>
    <t>26-09</t>
  </si>
  <si>
    <t>26-강남구-09</t>
  </si>
  <si>
    <t>논현동49-17</t>
  </si>
  <si>
    <t>강남빌딩 앞 도로(감남대로562)</t>
  </si>
  <si>
    <t>26-10</t>
  </si>
  <si>
    <t>26-강남구-10</t>
  </si>
  <si>
    <t>1</t>
  </si>
  <si>
    <t>논현동143</t>
  </si>
  <si>
    <t>신성빌딩 파리바게트 앞도로(강남대로532)</t>
  </si>
  <si>
    <t>26-11</t>
  </si>
  <si>
    <t>26-강남구-11</t>
  </si>
  <si>
    <t>논현동164</t>
  </si>
  <si>
    <t>영동빌딩 광성약국 앞도로(강남대로520)</t>
  </si>
  <si>
    <t>26-12</t>
  </si>
  <si>
    <t>26-강남구-12</t>
  </si>
  <si>
    <t>논현동164-11</t>
  </si>
  <si>
    <t>광명빌딩 정관장 앞도로(강남대로506)</t>
  </si>
  <si>
    <t>26-13</t>
  </si>
  <si>
    <t>26-강남구-13</t>
  </si>
  <si>
    <t>논현동165</t>
  </si>
  <si>
    <t>서희타워 아웃백 앞도로(강남대로502)</t>
  </si>
  <si>
    <t>26-14</t>
  </si>
  <si>
    <t>26-강남구-14</t>
  </si>
  <si>
    <t>논현동165-7</t>
  </si>
  <si>
    <t>데이뷰의원_강남 앞도로(강남대로494)</t>
  </si>
  <si>
    <t>26-15</t>
  </si>
  <si>
    <t>26-강남구-15</t>
  </si>
  <si>
    <t>논현동199-2</t>
  </si>
  <si>
    <t>99빌딩 앞 도로(강남대로484)</t>
  </si>
  <si>
    <t>26-16</t>
  </si>
  <si>
    <t>26-강남구-16</t>
  </si>
  <si>
    <t>교보타워사거리</t>
  </si>
  <si>
    <t>교차로 (봉은사로102)</t>
  </si>
  <si>
    <t>26-17</t>
  </si>
  <si>
    <t>26-강남구-17</t>
  </si>
  <si>
    <t>역삼동809-10</t>
  </si>
  <si>
    <t>한석타워 앞도로(강남대로456)</t>
  </si>
  <si>
    <t>26-18</t>
  </si>
  <si>
    <t>26-강남구-18</t>
  </si>
  <si>
    <t>역삼동809-12</t>
  </si>
  <si>
    <t>대연빌딩 앞 도로(강남대로452)</t>
  </si>
  <si>
    <t>26-19</t>
  </si>
  <si>
    <t>26-강남구-19</t>
  </si>
  <si>
    <t>역삼동814-5</t>
  </si>
  <si>
    <t>흥국생명빌딩 앞 도로(강남대로442)</t>
  </si>
  <si>
    <t>26-20</t>
  </si>
  <si>
    <t>26-강남구-20</t>
  </si>
  <si>
    <t>역삼동814-6</t>
  </si>
  <si>
    <t>스타플렉스 앞 도로(강남대로438)</t>
  </si>
  <si>
    <t>26-21</t>
  </si>
  <si>
    <t>26-강남구-21</t>
  </si>
  <si>
    <t>역삼동815</t>
  </si>
  <si>
    <t>강남e스퀘어 앞 도로(강남대로432)</t>
  </si>
  <si>
    <t>26-22</t>
  </si>
  <si>
    <t>26-강남구-22</t>
  </si>
  <si>
    <t>역삼동815-4</t>
  </si>
  <si>
    <t>만이빌딩 앞 도로(강남대로428)</t>
  </si>
  <si>
    <t>26-23</t>
  </si>
  <si>
    <t>26-강남구-23</t>
  </si>
  <si>
    <t>역삼동815-5</t>
  </si>
  <si>
    <t>진우빌딩 일상비일상의틈 앞도로(426)</t>
  </si>
  <si>
    <t>26-24</t>
  </si>
  <si>
    <t>26-강남구-24</t>
  </si>
  <si>
    <t>역삼동816-2</t>
  </si>
  <si>
    <t>역삼빌딩 조앤조의원 앞 도로(강남대로420)</t>
  </si>
  <si>
    <t>○ 육안조사 결과표</t>
  </si>
  <si>
    <t>광역시도명</t>
  </si>
  <si>
    <t>서군구명</t>
  </si>
  <si>
    <t>대상시설명</t>
  </si>
  <si>
    <t>조사기간</t>
  </si>
  <si>
    <t>시설물관리자</t>
  </si>
  <si>
    <t>조사자</t>
  </si>
  <si>
    <t>신분당선</t>
  </si>
  <si>
    <t>2026-03-17~2026-05-27</t>
    <phoneticPr fontId="3" type="noConversion"/>
  </si>
  <si>
    <t>기술참여자 명단 참조</t>
  </si>
  <si>
    <t>조사결과</t>
  </si>
  <si>
    <t>평가항목별 점수</t>
  </si>
  <si>
    <t>조사자 의견</t>
  </si>
  <si>
    <t>지반침하 발생 등의 이력1) (1년 이내)</t>
  </si>
  <si>
    <t>침하</t>
  </si>
  <si>
    <t>노후도</t>
  </si>
  <si>
    <t>새서울철도㈜</t>
    <phoneticPr fontId="3" type="noConversion"/>
  </si>
  <si>
    <t>서울시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</si>
</sst>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HY헤드라인M"/>
      <family val="1"/>
      <charset val="129"/>
    </font>
    <font>
      <sz val="8"/>
      <name val="맑은 고딕"/>
      <family val="3"/>
      <charset val="129"/>
      <scheme val="minor"/>
    </font>
    <font>
      <sz val="11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sz val="9"/>
      <color theme="1"/>
      <name val="맑은 고딕"/>
      <family val="3"/>
      <charset val="129"/>
      <scheme val="minor"/>
    </font>
    <font>
      <sz val="6"/>
      <color theme="1"/>
      <name val="HY헤드라인M"/>
      <family val="1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5">
    <xf numFmtId="0" fontId="0" fillId="0" borderId="0" xfId="0" applyNumberFormat="1"/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0" xfId="1" applyAlignment="1"/>
    <xf numFmtId="0" fontId="5" fillId="0" borderId="1" xfId="1" applyFont="1" applyBorder="1" applyAlignment="1">
      <alignment horizontal="center" vertical="center" wrapText="1"/>
    </xf>
    <xf numFmtId="0" fontId="1" fillId="0" borderId="4" xfId="1" applyBorder="1" applyAlignment="1"/>
    <xf numFmtId="0" fontId="5" fillId="0" borderId="1" xfId="1" applyFont="1" applyBorder="1" applyAlignment="1">
      <alignment horizontal="center" vertical="center"/>
    </xf>
    <xf numFmtId="0" fontId="1" fillId="0" borderId="3" xfId="1" applyBorder="1" applyAlignment="1"/>
    <xf numFmtId="0" fontId="1" fillId="0" borderId="2" xfId="1" applyBorder="1" applyAlignment="1"/>
    <xf numFmtId="0" fontId="4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 xr:uid="{ACF29BA2-2A6C-4408-BD17-2B8B2BD9BC6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workbookViewId="0">
      <selection activeCell="C17" sqref="C17"/>
    </sheetView>
  </sheetViews>
  <sheetFormatPr defaultRowHeight="17.25" x14ac:dyDescent="0.3"/>
  <sheetData>
    <row r="1" spans="1:20" x14ac:dyDescent="0.3">
      <c r="A1" t="s">
        <v>0</v>
      </c>
      <c r="B1" t="s">
        <v>1</v>
      </c>
      <c r="C1" t="s">
        <v>2</v>
      </c>
    </row>
    <row r="2" spans="1:20" x14ac:dyDescent="0.3">
      <c r="A2">
        <v>2026</v>
      </c>
      <c r="B2" t="s">
        <v>147</v>
      </c>
      <c r="C2" t="s">
        <v>3</v>
      </c>
    </row>
    <row r="4" spans="1:20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</row>
    <row r="5" spans="1:20" x14ac:dyDescent="0.3">
      <c r="A5" t="s">
        <v>32</v>
      </c>
      <c r="B5" t="s">
        <v>24</v>
      </c>
      <c r="C5" t="s">
        <v>33</v>
      </c>
      <c r="D5" t="s">
        <v>25</v>
      </c>
      <c r="E5" t="s">
        <v>26</v>
      </c>
      <c r="F5" t="s">
        <v>25</v>
      </c>
      <c r="G5">
        <v>4</v>
      </c>
      <c r="H5" t="s">
        <v>27</v>
      </c>
      <c r="I5" t="s">
        <v>35</v>
      </c>
      <c r="J5" t="s">
        <v>34</v>
      </c>
      <c r="K5" t="s">
        <v>35</v>
      </c>
      <c r="L5" t="s">
        <v>35</v>
      </c>
      <c r="M5" t="s">
        <v>35</v>
      </c>
      <c r="N5" t="s">
        <v>34</v>
      </c>
      <c r="O5" t="s">
        <v>28</v>
      </c>
      <c r="P5" t="s">
        <v>27</v>
      </c>
      <c r="Q5" t="s">
        <v>36</v>
      </c>
      <c r="R5" t="s">
        <v>29</v>
      </c>
      <c r="S5" t="s">
        <v>37</v>
      </c>
      <c r="T5" t="s">
        <v>29</v>
      </c>
    </row>
    <row r="6" spans="1:20" x14ac:dyDescent="0.3">
      <c r="A6" t="s">
        <v>38</v>
      </c>
      <c r="B6" t="s">
        <v>24</v>
      </c>
      <c r="C6" t="s">
        <v>39</v>
      </c>
      <c r="D6" t="s">
        <v>25</v>
      </c>
      <c r="E6" t="s">
        <v>26</v>
      </c>
      <c r="F6" t="s">
        <v>25</v>
      </c>
      <c r="G6">
        <v>4</v>
      </c>
      <c r="H6" t="s">
        <v>27</v>
      </c>
      <c r="I6" t="s">
        <v>35</v>
      </c>
      <c r="J6" t="s">
        <v>34</v>
      </c>
      <c r="K6" t="s">
        <v>35</v>
      </c>
      <c r="L6" t="s">
        <v>35</v>
      </c>
      <c r="M6" t="s">
        <v>35</v>
      </c>
      <c r="N6" t="s">
        <v>34</v>
      </c>
      <c r="O6" t="s">
        <v>28</v>
      </c>
      <c r="P6" t="s">
        <v>27</v>
      </c>
      <c r="Q6" t="s">
        <v>40</v>
      </c>
      <c r="R6" t="s">
        <v>29</v>
      </c>
      <c r="S6" t="s">
        <v>41</v>
      </c>
      <c r="T6" t="s">
        <v>29</v>
      </c>
    </row>
    <row r="7" spans="1:20" x14ac:dyDescent="0.3">
      <c r="A7" t="s">
        <v>42</v>
      </c>
      <c r="B7" t="s">
        <v>24</v>
      </c>
      <c r="C7" t="s">
        <v>43</v>
      </c>
      <c r="D7" t="s">
        <v>25</v>
      </c>
      <c r="E7" t="s">
        <v>26</v>
      </c>
      <c r="F7" t="s">
        <v>25</v>
      </c>
      <c r="G7">
        <v>4</v>
      </c>
      <c r="H7" t="s">
        <v>27</v>
      </c>
      <c r="I7" t="s">
        <v>35</v>
      </c>
      <c r="J7" t="s">
        <v>34</v>
      </c>
      <c r="K7" t="s">
        <v>35</v>
      </c>
      <c r="L7" t="s">
        <v>35</v>
      </c>
      <c r="M7" t="s">
        <v>35</v>
      </c>
      <c r="N7" t="s">
        <v>34</v>
      </c>
      <c r="O7" t="s">
        <v>28</v>
      </c>
      <c r="P7" t="s">
        <v>27</v>
      </c>
      <c r="Q7" t="s">
        <v>44</v>
      </c>
      <c r="R7" t="s">
        <v>29</v>
      </c>
      <c r="S7" t="s">
        <v>45</v>
      </c>
      <c r="T7" t="s">
        <v>29</v>
      </c>
    </row>
    <row r="8" spans="1:20" x14ac:dyDescent="0.3">
      <c r="A8" t="s">
        <v>46</v>
      </c>
      <c r="B8" t="s">
        <v>24</v>
      </c>
      <c r="C8" t="s">
        <v>47</v>
      </c>
      <c r="D8" t="s">
        <v>25</v>
      </c>
      <c r="E8" t="s">
        <v>26</v>
      </c>
      <c r="F8" t="s">
        <v>25</v>
      </c>
      <c r="G8">
        <v>4</v>
      </c>
      <c r="H8" t="s">
        <v>27</v>
      </c>
      <c r="I8" t="s">
        <v>35</v>
      </c>
      <c r="J8" t="s">
        <v>34</v>
      </c>
      <c r="K8" t="s">
        <v>35</v>
      </c>
      <c r="L8" t="s">
        <v>35</v>
      </c>
      <c r="M8" t="s">
        <v>35</v>
      </c>
      <c r="N8" t="s">
        <v>34</v>
      </c>
      <c r="O8" t="s">
        <v>28</v>
      </c>
      <c r="P8" t="s">
        <v>27</v>
      </c>
      <c r="Q8" t="s">
        <v>48</v>
      </c>
      <c r="R8" t="s">
        <v>29</v>
      </c>
      <c r="S8" t="s">
        <v>49</v>
      </c>
      <c r="T8" t="s">
        <v>29</v>
      </c>
    </row>
    <row r="9" spans="1:20" x14ac:dyDescent="0.3">
      <c r="A9" t="s">
        <v>50</v>
      </c>
      <c r="B9" t="s">
        <v>24</v>
      </c>
      <c r="C9" t="s">
        <v>51</v>
      </c>
      <c r="D9" t="s">
        <v>25</v>
      </c>
      <c r="E9" t="s">
        <v>26</v>
      </c>
      <c r="F9" t="s">
        <v>25</v>
      </c>
      <c r="G9">
        <v>4</v>
      </c>
      <c r="H9" t="s">
        <v>27</v>
      </c>
      <c r="I9" t="s">
        <v>35</v>
      </c>
      <c r="J9" t="s">
        <v>34</v>
      </c>
      <c r="K9" t="s">
        <v>35</v>
      </c>
      <c r="L9" t="s">
        <v>35</v>
      </c>
      <c r="M9" t="s">
        <v>35</v>
      </c>
      <c r="N9" t="s">
        <v>34</v>
      </c>
      <c r="O9" t="s">
        <v>28</v>
      </c>
      <c r="P9" t="s">
        <v>27</v>
      </c>
      <c r="Q9" t="s">
        <v>52</v>
      </c>
      <c r="R9" t="s">
        <v>29</v>
      </c>
      <c r="S9" t="s">
        <v>53</v>
      </c>
      <c r="T9" t="s">
        <v>29</v>
      </c>
    </row>
    <row r="10" spans="1:20" x14ac:dyDescent="0.3">
      <c r="A10" t="s">
        <v>54</v>
      </c>
      <c r="B10" t="s">
        <v>24</v>
      </c>
      <c r="C10" t="s">
        <v>55</v>
      </c>
      <c r="D10" t="s">
        <v>25</v>
      </c>
      <c r="E10" t="s">
        <v>26</v>
      </c>
      <c r="F10" t="s">
        <v>25</v>
      </c>
      <c r="G10">
        <v>4</v>
      </c>
      <c r="H10" t="s">
        <v>27</v>
      </c>
      <c r="I10" t="s">
        <v>35</v>
      </c>
      <c r="J10" t="s">
        <v>34</v>
      </c>
      <c r="K10" t="s">
        <v>35</v>
      </c>
      <c r="L10" t="s">
        <v>35</v>
      </c>
      <c r="M10" t="s">
        <v>35</v>
      </c>
      <c r="N10" t="s">
        <v>34</v>
      </c>
      <c r="O10" t="s">
        <v>28</v>
      </c>
      <c r="P10" t="s">
        <v>27</v>
      </c>
      <c r="Q10" t="s">
        <v>56</v>
      </c>
      <c r="R10" t="s">
        <v>29</v>
      </c>
      <c r="S10" t="s">
        <v>57</v>
      </c>
      <c r="T10" t="s">
        <v>29</v>
      </c>
    </row>
    <row r="11" spans="1:20" x14ac:dyDescent="0.3">
      <c r="A11" t="s">
        <v>58</v>
      </c>
      <c r="B11" t="s">
        <v>24</v>
      </c>
      <c r="C11" t="s">
        <v>59</v>
      </c>
      <c r="D11" t="s">
        <v>25</v>
      </c>
      <c r="E11" t="s">
        <v>26</v>
      </c>
      <c r="F11" t="s">
        <v>25</v>
      </c>
      <c r="G11">
        <v>4</v>
      </c>
      <c r="H11" t="s">
        <v>27</v>
      </c>
      <c r="I11" t="s">
        <v>35</v>
      </c>
      <c r="J11" t="s">
        <v>34</v>
      </c>
      <c r="K11" t="s">
        <v>35</v>
      </c>
      <c r="L11" t="s">
        <v>35</v>
      </c>
      <c r="M11" t="s">
        <v>35</v>
      </c>
      <c r="N11" t="s">
        <v>34</v>
      </c>
      <c r="O11" t="s">
        <v>28</v>
      </c>
      <c r="P11" t="s">
        <v>27</v>
      </c>
      <c r="Q11" t="s">
        <v>60</v>
      </c>
      <c r="R11" t="s">
        <v>29</v>
      </c>
      <c r="S11" t="s">
        <v>61</v>
      </c>
      <c r="T11" t="s">
        <v>29</v>
      </c>
    </row>
    <row r="12" spans="1:20" x14ac:dyDescent="0.3">
      <c r="A12" t="s">
        <v>62</v>
      </c>
      <c r="B12" t="s">
        <v>24</v>
      </c>
      <c r="C12" t="s">
        <v>63</v>
      </c>
      <c r="D12" t="s">
        <v>25</v>
      </c>
      <c r="E12" t="s">
        <v>26</v>
      </c>
      <c r="F12" t="s">
        <v>25</v>
      </c>
      <c r="G12">
        <v>4</v>
      </c>
      <c r="H12" t="s">
        <v>27</v>
      </c>
      <c r="I12" t="s">
        <v>35</v>
      </c>
      <c r="J12" t="s">
        <v>34</v>
      </c>
      <c r="K12" t="s">
        <v>35</v>
      </c>
      <c r="L12" t="s">
        <v>35</v>
      </c>
      <c r="M12" t="s">
        <v>35</v>
      </c>
      <c r="N12" t="s">
        <v>34</v>
      </c>
      <c r="O12" t="s">
        <v>28</v>
      </c>
      <c r="P12" t="s">
        <v>27</v>
      </c>
      <c r="Q12" t="s">
        <v>64</v>
      </c>
      <c r="R12" t="s">
        <v>29</v>
      </c>
      <c r="S12" t="s">
        <v>65</v>
      </c>
      <c r="T12" t="s">
        <v>29</v>
      </c>
    </row>
    <row r="13" spans="1:20" x14ac:dyDescent="0.3">
      <c r="A13" t="s">
        <v>66</v>
      </c>
      <c r="B13" t="s">
        <v>24</v>
      </c>
      <c r="C13" t="s">
        <v>67</v>
      </c>
      <c r="D13" t="s">
        <v>25</v>
      </c>
      <c r="E13" t="s">
        <v>26</v>
      </c>
      <c r="F13" t="s">
        <v>25</v>
      </c>
      <c r="G13">
        <v>4</v>
      </c>
      <c r="H13" t="s">
        <v>27</v>
      </c>
      <c r="I13" t="s">
        <v>35</v>
      </c>
      <c r="J13" t="s">
        <v>34</v>
      </c>
      <c r="K13" t="s">
        <v>35</v>
      </c>
      <c r="L13" t="s">
        <v>35</v>
      </c>
      <c r="M13" t="s">
        <v>35</v>
      </c>
      <c r="N13" t="s">
        <v>34</v>
      </c>
      <c r="O13" t="s">
        <v>28</v>
      </c>
      <c r="P13" t="s">
        <v>27</v>
      </c>
      <c r="Q13" t="s">
        <v>68</v>
      </c>
      <c r="R13" t="s">
        <v>29</v>
      </c>
      <c r="S13" t="s">
        <v>69</v>
      </c>
      <c r="T13" t="s">
        <v>29</v>
      </c>
    </row>
    <row r="14" spans="1:20" x14ac:dyDescent="0.3">
      <c r="A14" t="s">
        <v>70</v>
      </c>
      <c r="B14" t="s">
        <v>24</v>
      </c>
      <c r="C14" t="s">
        <v>71</v>
      </c>
      <c r="D14" t="s">
        <v>25</v>
      </c>
      <c r="E14" t="s">
        <v>31</v>
      </c>
      <c r="F14" t="s">
        <v>25</v>
      </c>
      <c r="G14">
        <v>4</v>
      </c>
      <c r="H14" t="s">
        <v>27</v>
      </c>
      <c r="I14" t="s">
        <v>35</v>
      </c>
      <c r="J14" t="s">
        <v>72</v>
      </c>
      <c r="K14" t="s">
        <v>35</v>
      </c>
      <c r="L14" t="s">
        <v>35</v>
      </c>
      <c r="M14" t="s">
        <v>35</v>
      </c>
      <c r="N14" t="s">
        <v>72</v>
      </c>
      <c r="O14" t="s">
        <v>28</v>
      </c>
      <c r="P14" t="s">
        <v>27</v>
      </c>
      <c r="Q14" t="s">
        <v>73</v>
      </c>
      <c r="R14" t="s">
        <v>29</v>
      </c>
      <c r="S14" t="s">
        <v>74</v>
      </c>
      <c r="T14" t="s">
        <v>29</v>
      </c>
    </row>
    <row r="15" spans="1:20" x14ac:dyDescent="0.3">
      <c r="A15" t="s">
        <v>75</v>
      </c>
      <c r="B15" t="s">
        <v>24</v>
      </c>
      <c r="C15" t="s">
        <v>76</v>
      </c>
      <c r="D15" t="s">
        <v>25</v>
      </c>
      <c r="E15" t="s">
        <v>26</v>
      </c>
      <c r="F15" t="s">
        <v>25</v>
      </c>
      <c r="G15">
        <v>4</v>
      </c>
      <c r="H15" t="s">
        <v>27</v>
      </c>
      <c r="I15" t="s">
        <v>35</v>
      </c>
      <c r="J15" t="s">
        <v>34</v>
      </c>
      <c r="K15" t="s">
        <v>35</v>
      </c>
      <c r="L15" t="s">
        <v>35</v>
      </c>
      <c r="M15" t="s">
        <v>35</v>
      </c>
      <c r="N15" t="s">
        <v>34</v>
      </c>
      <c r="O15" t="s">
        <v>28</v>
      </c>
      <c r="P15" t="s">
        <v>27</v>
      </c>
      <c r="Q15" t="s">
        <v>77</v>
      </c>
      <c r="R15" t="s">
        <v>29</v>
      </c>
      <c r="S15" t="s">
        <v>78</v>
      </c>
      <c r="T15" t="s">
        <v>29</v>
      </c>
    </row>
    <row r="16" spans="1:20" x14ac:dyDescent="0.3">
      <c r="A16" t="s">
        <v>79</v>
      </c>
      <c r="B16" t="s">
        <v>24</v>
      </c>
      <c r="C16" t="s">
        <v>80</v>
      </c>
      <c r="D16" t="s">
        <v>25</v>
      </c>
      <c r="E16" t="s">
        <v>26</v>
      </c>
      <c r="F16" t="s">
        <v>25</v>
      </c>
      <c r="G16">
        <v>4</v>
      </c>
      <c r="H16" t="s">
        <v>27</v>
      </c>
      <c r="I16" t="s">
        <v>35</v>
      </c>
      <c r="J16" t="s">
        <v>34</v>
      </c>
      <c r="K16" t="s">
        <v>35</v>
      </c>
      <c r="L16" t="s">
        <v>35</v>
      </c>
      <c r="M16" t="s">
        <v>35</v>
      </c>
      <c r="N16" t="s">
        <v>34</v>
      </c>
      <c r="O16" t="s">
        <v>28</v>
      </c>
      <c r="P16" t="s">
        <v>27</v>
      </c>
      <c r="Q16" t="s">
        <v>81</v>
      </c>
      <c r="R16" t="s">
        <v>29</v>
      </c>
      <c r="S16" t="s">
        <v>82</v>
      </c>
      <c r="T16" t="s">
        <v>29</v>
      </c>
    </row>
    <row r="17" spans="1:20" x14ac:dyDescent="0.3">
      <c r="A17" t="s">
        <v>83</v>
      </c>
      <c r="B17" t="s">
        <v>24</v>
      </c>
      <c r="C17" t="s">
        <v>84</v>
      </c>
      <c r="D17" t="s">
        <v>25</v>
      </c>
      <c r="E17" t="s">
        <v>26</v>
      </c>
      <c r="F17" t="s">
        <v>25</v>
      </c>
      <c r="G17">
        <v>4</v>
      </c>
      <c r="H17" t="s">
        <v>27</v>
      </c>
      <c r="I17" t="s">
        <v>35</v>
      </c>
      <c r="J17" t="s">
        <v>34</v>
      </c>
      <c r="K17" t="s">
        <v>35</v>
      </c>
      <c r="L17" t="s">
        <v>35</v>
      </c>
      <c r="M17" t="s">
        <v>35</v>
      </c>
      <c r="N17" t="s">
        <v>34</v>
      </c>
      <c r="O17" t="s">
        <v>28</v>
      </c>
      <c r="P17" t="s">
        <v>30</v>
      </c>
      <c r="Q17" t="s">
        <v>85</v>
      </c>
      <c r="R17" t="s">
        <v>29</v>
      </c>
      <c r="S17" t="s">
        <v>86</v>
      </c>
      <c r="T17" t="s">
        <v>29</v>
      </c>
    </row>
    <row r="18" spans="1:20" x14ac:dyDescent="0.3">
      <c r="A18" t="s">
        <v>87</v>
      </c>
      <c r="B18" t="s">
        <v>24</v>
      </c>
      <c r="C18" t="s">
        <v>88</v>
      </c>
      <c r="D18" t="s">
        <v>25</v>
      </c>
      <c r="E18" t="s">
        <v>26</v>
      </c>
      <c r="F18" t="s">
        <v>25</v>
      </c>
      <c r="G18">
        <v>4</v>
      </c>
      <c r="H18" t="s">
        <v>27</v>
      </c>
      <c r="I18" t="s">
        <v>35</v>
      </c>
      <c r="J18" t="s">
        <v>34</v>
      </c>
      <c r="K18" t="s">
        <v>35</v>
      </c>
      <c r="L18" t="s">
        <v>35</v>
      </c>
      <c r="M18" t="s">
        <v>35</v>
      </c>
      <c r="N18" t="s">
        <v>34</v>
      </c>
      <c r="O18" t="s">
        <v>28</v>
      </c>
      <c r="P18" t="s">
        <v>27</v>
      </c>
      <c r="Q18" t="s">
        <v>89</v>
      </c>
      <c r="R18" t="s">
        <v>29</v>
      </c>
      <c r="S18" t="s">
        <v>90</v>
      </c>
      <c r="T18" t="s">
        <v>29</v>
      </c>
    </row>
    <row r="19" spans="1:20" x14ac:dyDescent="0.3">
      <c r="A19" t="s">
        <v>91</v>
      </c>
      <c r="B19" t="s">
        <v>24</v>
      </c>
      <c r="C19" t="s">
        <v>92</v>
      </c>
      <c r="D19" t="s">
        <v>25</v>
      </c>
      <c r="E19" t="s">
        <v>26</v>
      </c>
      <c r="F19" t="s">
        <v>25</v>
      </c>
      <c r="G19">
        <v>4</v>
      </c>
      <c r="H19" t="s">
        <v>27</v>
      </c>
      <c r="I19" t="s">
        <v>35</v>
      </c>
      <c r="J19" t="s">
        <v>34</v>
      </c>
      <c r="K19" t="s">
        <v>35</v>
      </c>
      <c r="L19" t="s">
        <v>35</v>
      </c>
      <c r="M19" t="s">
        <v>35</v>
      </c>
      <c r="N19" t="s">
        <v>34</v>
      </c>
      <c r="O19" t="s">
        <v>28</v>
      </c>
      <c r="P19" t="s">
        <v>27</v>
      </c>
      <c r="Q19" t="s">
        <v>93</v>
      </c>
      <c r="R19" t="s">
        <v>29</v>
      </c>
      <c r="S19" t="s">
        <v>94</v>
      </c>
      <c r="T19" t="s">
        <v>29</v>
      </c>
    </row>
    <row r="20" spans="1:20" x14ac:dyDescent="0.3">
      <c r="A20" t="s">
        <v>95</v>
      </c>
      <c r="B20" t="s">
        <v>24</v>
      </c>
      <c r="C20" t="s">
        <v>96</v>
      </c>
      <c r="D20" t="s">
        <v>25</v>
      </c>
      <c r="E20" t="s">
        <v>26</v>
      </c>
      <c r="F20" t="s">
        <v>25</v>
      </c>
      <c r="G20">
        <v>4</v>
      </c>
      <c r="H20" t="s">
        <v>27</v>
      </c>
      <c r="I20" t="s">
        <v>35</v>
      </c>
      <c r="J20" t="s">
        <v>34</v>
      </c>
      <c r="K20" t="s">
        <v>35</v>
      </c>
      <c r="L20" t="s">
        <v>35</v>
      </c>
      <c r="M20" t="s">
        <v>35</v>
      </c>
      <c r="N20" t="s">
        <v>34</v>
      </c>
      <c r="O20" t="s">
        <v>28</v>
      </c>
      <c r="P20" t="s">
        <v>27</v>
      </c>
      <c r="Q20" t="s">
        <v>97</v>
      </c>
      <c r="R20" t="s">
        <v>29</v>
      </c>
      <c r="S20" t="s">
        <v>98</v>
      </c>
      <c r="T20" t="s">
        <v>29</v>
      </c>
    </row>
    <row r="21" spans="1:20" x14ac:dyDescent="0.3">
      <c r="A21" t="s">
        <v>99</v>
      </c>
      <c r="B21" t="s">
        <v>24</v>
      </c>
      <c r="C21" t="s">
        <v>100</v>
      </c>
      <c r="D21" t="s">
        <v>25</v>
      </c>
      <c r="E21" t="s">
        <v>31</v>
      </c>
      <c r="F21" t="s">
        <v>25</v>
      </c>
      <c r="G21">
        <v>4</v>
      </c>
      <c r="H21" t="s">
        <v>27</v>
      </c>
      <c r="I21" t="s">
        <v>35</v>
      </c>
      <c r="J21" t="s">
        <v>72</v>
      </c>
      <c r="K21" t="s">
        <v>35</v>
      </c>
      <c r="L21" t="s">
        <v>35</v>
      </c>
      <c r="M21" t="s">
        <v>35</v>
      </c>
      <c r="N21" t="s">
        <v>72</v>
      </c>
      <c r="O21" t="s">
        <v>28</v>
      </c>
      <c r="P21" t="s">
        <v>27</v>
      </c>
      <c r="Q21" t="s">
        <v>101</v>
      </c>
      <c r="R21" t="s">
        <v>29</v>
      </c>
      <c r="S21" t="s">
        <v>102</v>
      </c>
      <c r="T21" t="s">
        <v>29</v>
      </c>
    </row>
    <row r="22" spans="1:20" x14ac:dyDescent="0.3">
      <c r="A22" t="s">
        <v>103</v>
      </c>
      <c r="B22" t="s">
        <v>24</v>
      </c>
      <c r="C22" t="s">
        <v>104</v>
      </c>
      <c r="D22" t="s">
        <v>25</v>
      </c>
      <c r="E22" t="s">
        <v>26</v>
      </c>
      <c r="F22" t="s">
        <v>25</v>
      </c>
      <c r="G22">
        <v>4</v>
      </c>
      <c r="H22" t="s">
        <v>27</v>
      </c>
      <c r="I22" t="s">
        <v>35</v>
      </c>
      <c r="J22" t="s">
        <v>34</v>
      </c>
      <c r="K22" t="s">
        <v>35</v>
      </c>
      <c r="L22" t="s">
        <v>35</v>
      </c>
      <c r="M22" t="s">
        <v>35</v>
      </c>
      <c r="N22" t="s">
        <v>34</v>
      </c>
      <c r="O22" t="s">
        <v>28</v>
      </c>
      <c r="P22" t="s">
        <v>27</v>
      </c>
      <c r="Q22" t="s">
        <v>105</v>
      </c>
      <c r="R22" t="s">
        <v>29</v>
      </c>
      <c r="S22" t="s">
        <v>106</v>
      </c>
      <c r="T22" t="s">
        <v>29</v>
      </c>
    </row>
    <row r="23" spans="1:20" x14ac:dyDescent="0.3">
      <c r="A23" t="s">
        <v>107</v>
      </c>
      <c r="B23" t="s">
        <v>24</v>
      </c>
      <c r="C23" t="s">
        <v>108</v>
      </c>
      <c r="D23" t="s">
        <v>25</v>
      </c>
      <c r="E23" t="s">
        <v>26</v>
      </c>
      <c r="F23" t="s">
        <v>25</v>
      </c>
      <c r="G23">
        <v>4</v>
      </c>
      <c r="H23" t="s">
        <v>27</v>
      </c>
      <c r="I23" t="s">
        <v>35</v>
      </c>
      <c r="J23" t="s">
        <v>34</v>
      </c>
      <c r="K23" t="s">
        <v>35</v>
      </c>
      <c r="L23" t="s">
        <v>35</v>
      </c>
      <c r="M23" t="s">
        <v>35</v>
      </c>
      <c r="N23" t="s">
        <v>34</v>
      </c>
      <c r="O23" t="s">
        <v>28</v>
      </c>
      <c r="P23" t="s">
        <v>27</v>
      </c>
      <c r="Q23" t="s">
        <v>109</v>
      </c>
      <c r="R23" t="s">
        <v>29</v>
      </c>
      <c r="S23" t="s">
        <v>110</v>
      </c>
      <c r="T23" t="s">
        <v>29</v>
      </c>
    </row>
    <row r="24" spans="1:20" x14ac:dyDescent="0.3">
      <c r="A24" t="s">
        <v>111</v>
      </c>
      <c r="B24" t="s">
        <v>24</v>
      </c>
      <c r="C24" t="s">
        <v>112</v>
      </c>
      <c r="D24" t="s">
        <v>25</v>
      </c>
      <c r="E24" t="s">
        <v>26</v>
      </c>
      <c r="F24" t="s">
        <v>25</v>
      </c>
      <c r="G24">
        <v>4</v>
      </c>
      <c r="H24" t="s">
        <v>27</v>
      </c>
      <c r="I24" t="s">
        <v>35</v>
      </c>
      <c r="J24" t="s">
        <v>34</v>
      </c>
      <c r="K24" t="s">
        <v>35</v>
      </c>
      <c r="L24" t="s">
        <v>35</v>
      </c>
      <c r="M24" t="s">
        <v>35</v>
      </c>
      <c r="N24" t="s">
        <v>34</v>
      </c>
      <c r="O24" t="s">
        <v>28</v>
      </c>
      <c r="P24" t="s">
        <v>27</v>
      </c>
      <c r="Q24" t="s">
        <v>113</v>
      </c>
      <c r="R24" t="s">
        <v>29</v>
      </c>
      <c r="S24" t="s">
        <v>114</v>
      </c>
      <c r="T24" t="s">
        <v>29</v>
      </c>
    </row>
    <row r="25" spans="1:20" x14ac:dyDescent="0.3">
      <c r="A25" t="s">
        <v>115</v>
      </c>
      <c r="B25" t="s">
        <v>24</v>
      </c>
      <c r="C25" t="s">
        <v>116</v>
      </c>
      <c r="D25" t="s">
        <v>25</v>
      </c>
      <c r="E25" t="s">
        <v>26</v>
      </c>
      <c r="F25" t="s">
        <v>25</v>
      </c>
      <c r="G25">
        <v>4</v>
      </c>
      <c r="H25" t="s">
        <v>27</v>
      </c>
      <c r="I25" t="s">
        <v>35</v>
      </c>
      <c r="J25" t="s">
        <v>34</v>
      </c>
      <c r="K25" t="s">
        <v>35</v>
      </c>
      <c r="L25" t="s">
        <v>35</v>
      </c>
      <c r="M25" t="s">
        <v>35</v>
      </c>
      <c r="N25" t="s">
        <v>34</v>
      </c>
      <c r="O25" t="s">
        <v>28</v>
      </c>
      <c r="P25" t="s">
        <v>27</v>
      </c>
      <c r="Q25" t="s">
        <v>117</v>
      </c>
      <c r="R25" t="s">
        <v>29</v>
      </c>
      <c r="S25" t="s">
        <v>118</v>
      </c>
      <c r="T25" t="s">
        <v>29</v>
      </c>
    </row>
    <row r="26" spans="1:20" x14ac:dyDescent="0.3">
      <c r="A26" t="s">
        <v>119</v>
      </c>
      <c r="B26" t="s">
        <v>24</v>
      </c>
      <c r="C26" t="s">
        <v>120</v>
      </c>
      <c r="D26" t="s">
        <v>25</v>
      </c>
      <c r="E26" t="s">
        <v>26</v>
      </c>
      <c r="F26" t="s">
        <v>25</v>
      </c>
      <c r="G26">
        <v>4</v>
      </c>
      <c r="H26" t="s">
        <v>27</v>
      </c>
      <c r="I26" t="s">
        <v>35</v>
      </c>
      <c r="J26" t="s">
        <v>34</v>
      </c>
      <c r="K26" t="s">
        <v>35</v>
      </c>
      <c r="L26" t="s">
        <v>35</v>
      </c>
      <c r="M26" t="s">
        <v>35</v>
      </c>
      <c r="N26" t="s">
        <v>34</v>
      </c>
      <c r="O26" t="s">
        <v>28</v>
      </c>
      <c r="P26" t="s">
        <v>27</v>
      </c>
      <c r="Q26" t="s">
        <v>121</v>
      </c>
      <c r="R26" t="s">
        <v>29</v>
      </c>
      <c r="S26" t="s">
        <v>122</v>
      </c>
      <c r="T26" t="s">
        <v>29</v>
      </c>
    </row>
    <row r="27" spans="1:20" x14ac:dyDescent="0.3">
      <c r="A27" t="s">
        <v>123</v>
      </c>
      <c r="B27" t="s">
        <v>24</v>
      </c>
      <c r="C27" t="s">
        <v>124</v>
      </c>
      <c r="D27" t="s">
        <v>25</v>
      </c>
      <c r="E27" t="s">
        <v>26</v>
      </c>
      <c r="F27" t="s">
        <v>25</v>
      </c>
      <c r="G27">
        <v>4</v>
      </c>
      <c r="H27" t="s">
        <v>27</v>
      </c>
      <c r="I27" t="s">
        <v>35</v>
      </c>
      <c r="J27" t="s">
        <v>34</v>
      </c>
      <c r="K27" t="s">
        <v>35</v>
      </c>
      <c r="L27" t="s">
        <v>35</v>
      </c>
      <c r="M27" t="s">
        <v>35</v>
      </c>
      <c r="N27" t="s">
        <v>34</v>
      </c>
      <c r="O27" t="s">
        <v>28</v>
      </c>
      <c r="P27" t="s">
        <v>27</v>
      </c>
      <c r="Q27" t="s">
        <v>125</v>
      </c>
      <c r="R27" t="s">
        <v>29</v>
      </c>
      <c r="S27" t="s">
        <v>126</v>
      </c>
      <c r="T27" t="s">
        <v>29</v>
      </c>
    </row>
    <row r="28" spans="1:20" x14ac:dyDescent="0.3">
      <c r="A28" t="s">
        <v>127</v>
      </c>
      <c r="B28" t="s">
        <v>24</v>
      </c>
      <c r="C28" t="s">
        <v>128</v>
      </c>
      <c r="D28" t="s">
        <v>25</v>
      </c>
      <c r="E28" t="s">
        <v>26</v>
      </c>
      <c r="F28" t="s">
        <v>25</v>
      </c>
      <c r="G28">
        <v>4</v>
      </c>
      <c r="H28" t="s">
        <v>27</v>
      </c>
      <c r="I28" t="s">
        <v>35</v>
      </c>
      <c r="J28" t="s">
        <v>34</v>
      </c>
      <c r="K28" t="s">
        <v>35</v>
      </c>
      <c r="L28" t="s">
        <v>35</v>
      </c>
      <c r="M28" t="s">
        <v>35</v>
      </c>
      <c r="N28" t="s">
        <v>34</v>
      </c>
      <c r="O28" t="s">
        <v>28</v>
      </c>
      <c r="P28" t="s">
        <v>27</v>
      </c>
      <c r="Q28" t="s">
        <v>129</v>
      </c>
      <c r="R28" t="s">
        <v>29</v>
      </c>
      <c r="S28" t="s">
        <v>130</v>
      </c>
      <c r="T28" t="s">
        <v>29</v>
      </c>
    </row>
  </sheetData>
  <phoneticPr fontId="3" type="noConversion"/>
  <pageMargins left="0.7" right="0.7" top="0.75" bottom="0.75" header="0.3" footer="0.3"/>
  <ignoredErrors>
    <ignoredError sqref="A1:T1 A3:T4 C2:T2 A6:F28 A5:F5 H5:T5 H6:T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0D54-8318-4BE2-8CD2-61DDACF2D1A5}">
  <sheetPr>
    <pageSetUpPr fitToPage="1"/>
  </sheetPr>
  <dimension ref="A2:S32"/>
  <sheetViews>
    <sheetView view="pageBreakPreview" zoomScaleNormal="100" zoomScaleSheetLayoutView="100" workbookViewId="0">
      <selection activeCell="P21" sqref="P21"/>
    </sheetView>
  </sheetViews>
  <sheetFormatPr defaultRowHeight="16.5" x14ac:dyDescent="0.3"/>
  <cols>
    <col min="1" max="2" width="8.88671875" style="3"/>
    <col min="3" max="3" width="10.33203125" style="8" customWidth="1"/>
    <col min="4" max="7" width="8.88671875" style="3"/>
    <col min="8" max="8" width="12.33203125" style="8" customWidth="1"/>
    <col min="9" max="12" width="8.88671875" style="3"/>
    <col min="13" max="13" width="12.33203125" style="8" customWidth="1"/>
    <col min="14" max="15" width="3.88671875" style="8" customWidth="1"/>
    <col min="16" max="16" width="10.33203125" style="8" customWidth="1"/>
    <col min="17" max="16384" width="8.88671875" style="3"/>
  </cols>
  <sheetData>
    <row r="2" spans="1:19" x14ac:dyDescent="0.3">
      <c r="A2" s="1" t="s">
        <v>131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9" ht="6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9" x14ac:dyDescent="0.3">
      <c r="A4" s="14" t="s">
        <v>132</v>
      </c>
      <c r="B4" s="13"/>
      <c r="C4" s="14" t="s">
        <v>133</v>
      </c>
      <c r="D4" s="13"/>
      <c r="E4" s="14" t="s">
        <v>134</v>
      </c>
      <c r="F4" s="13"/>
      <c r="G4" s="14" t="s">
        <v>135</v>
      </c>
      <c r="H4" s="12"/>
      <c r="I4" s="13"/>
      <c r="J4" s="14" t="s">
        <v>136</v>
      </c>
      <c r="K4" s="12"/>
      <c r="L4" s="13"/>
      <c r="M4" s="14" t="s">
        <v>137</v>
      </c>
      <c r="N4" s="12"/>
      <c r="O4" s="12"/>
      <c r="P4" s="13"/>
    </row>
    <row r="5" spans="1:19" x14ac:dyDescent="0.3">
      <c r="A5" s="14" t="s">
        <v>148</v>
      </c>
      <c r="B5" s="13"/>
      <c r="C5" s="14" t="str">
        <f>RawData!C2</f>
        <v>강남구</v>
      </c>
      <c r="D5" s="13"/>
      <c r="E5" s="14" t="s">
        <v>138</v>
      </c>
      <c r="F5" s="13"/>
      <c r="G5" s="14" t="s">
        <v>139</v>
      </c>
      <c r="H5" s="12"/>
      <c r="I5" s="13"/>
      <c r="J5" s="14" t="str">
        <f>RawData!B2</f>
        <v>새서울철도㈜</v>
      </c>
      <c r="K5" s="12"/>
      <c r="L5" s="13"/>
      <c r="M5" s="14" t="s">
        <v>140</v>
      </c>
      <c r="N5" s="12"/>
      <c r="O5" s="12"/>
      <c r="P5" s="13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9" x14ac:dyDescent="0.3">
      <c r="A7" s="9" t="s">
        <v>4</v>
      </c>
      <c r="B7" s="9" t="s">
        <v>5</v>
      </c>
      <c r="C7" s="9" t="s">
        <v>6</v>
      </c>
      <c r="D7" s="11" t="s">
        <v>141</v>
      </c>
      <c r="E7" s="12"/>
      <c r="F7" s="12"/>
      <c r="G7" s="12"/>
      <c r="H7" s="13"/>
      <c r="I7" s="11" t="s">
        <v>142</v>
      </c>
      <c r="J7" s="12"/>
      <c r="K7" s="12"/>
      <c r="L7" s="12"/>
      <c r="M7" s="13"/>
      <c r="N7" s="9" t="s">
        <v>17</v>
      </c>
      <c r="O7" s="9" t="s">
        <v>18</v>
      </c>
      <c r="P7" s="9" t="s">
        <v>143</v>
      </c>
    </row>
    <row r="8" spans="1:19" s="5" customFormat="1" ht="24.75" customHeight="1" x14ac:dyDescent="0.3">
      <c r="A8" s="10"/>
      <c r="B8" s="10"/>
      <c r="C8" s="10"/>
      <c r="D8" s="4" t="s">
        <v>7</v>
      </c>
      <c r="E8" s="4" t="s">
        <v>8</v>
      </c>
      <c r="F8" s="4" t="s">
        <v>9</v>
      </c>
      <c r="G8" s="4" t="s">
        <v>10</v>
      </c>
      <c r="H8" s="4" t="s">
        <v>144</v>
      </c>
      <c r="I8" s="4" t="s">
        <v>145</v>
      </c>
      <c r="J8" s="4" t="s">
        <v>8</v>
      </c>
      <c r="K8" s="4" t="s">
        <v>9</v>
      </c>
      <c r="L8" s="4" t="s">
        <v>146</v>
      </c>
      <c r="M8" s="4" t="s">
        <v>16</v>
      </c>
      <c r="N8" s="10"/>
      <c r="O8" s="10"/>
      <c r="P8" s="10"/>
      <c r="Q8" s="3"/>
      <c r="R8" s="3"/>
      <c r="S8" s="3"/>
    </row>
    <row r="9" spans="1:19" x14ac:dyDescent="0.3">
      <c r="A9" s="6" t="str">
        <f>RIGHT(RawData!A5,2)</f>
        <v>01</v>
      </c>
      <c r="B9" s="6" t="str">
        <f>RawData!B5</f>
        <v>강남대로</v>
      </c>
      <c r="C9" s="6" t="str">
        <f>RawData!C5</f>
        <v>26-강남구-01</v>
      </c>
      <c r="D9" s="6" t="str">
        <f>RawData!D5</f>
        <v>양호</v>
      </c>
      <c r="E9" s="6" t="str">
        <f>RawData!E5</f>
        <v>거북등</v>
      </c>
      <c r="F9" s="6" t="str">
        <f>RawData!F5</f>
        <v>양호</v>
      </c>
      <c r="G9" s="6">
        <f>RawData!G5</f>
        <v>4</v>
      </c>
      <c r="H9" s="6" t="str">
        <f>RawData!H5</f>
        <v>-</v>
      </c>
      <c r="I9" s="6">
        <f>IF(D9="양호",0,IF(D9="보통",3,IF(D9="불량",9)))</f>
        <v>0</v>
      </c>
      <c r="J9" s="6">
        <f t="shared" ref="J9:J32" si="0">IF(E9="거북등",3,IF(RIGHT(E9,2)="균열",1,IF(E9="-",0)))</f>
        <v>3</v>
      </c>
      <c r="K9" s="6">
        <f t="shared" ref="K9:K32" si="1">IF(F9="유출",9,IF(F9="습윤",1,IF(F9="양호",0,IF(F9="건조",0))))</f>
        <v>0</v>
      </c>
      <c r="L9" s="6">
        <f>IF(G9&gt;=30,2,IF(G9&gt;=10,1,0))</f>
        <v>0</v>
      </c>
      <c r="M9" s="6">
        <f t="shared" ref="M9:M32" si="2">IF(H9="-",0,1)</f>
        <v>0</v>
      </c>
      <c r="N9" s="6">
        <f t="shared" ref="N9:N32" si="3">SUM(I9:M9)</f>
        <v>3</v>
      </c>
      <c r="O9" s="6" t="str">
        <f t="shared" ref="O9:O32" si="4">IF(N9&lt;6,"일반",IF(N9&lt;9,"우선",IF(N9&gt;=9,"긴급")))</f>
        <v>일반</v>
      </c>
      <c r="P9" s="7" t="str">
        <f>RawData!P5</f>
        <v>-</v>
      </c>
    </row>
    <row r="10" spans="1:19" x14ac:dyDescent="0.3">
      <c r="A10" s="6" t="str">
        <f>RIGHT(RawData!A6,2)</f>
        <v>02</v>
      </c>
      <c r="B10" s="6" t="str">
        <f>RawData!B6</f>
        <v>강남대로</v>
      </c>
      <c r="C10" s="6" t="str">
        <f>RawData!C6</f>
        <v>26-강남구-02</v>
      </c>
      <c r="D10" s="6" t="str">
        <f>RawData!D6</f>
        <v>양호</v>
      </c>
      <c r="E10" s="6" t="str">
        <f>RawData!E6</f>
        <v>거북등</v>
      </c>
      <c r="F10" s="6" t="str">
        <f>RawData!F6</f>
        <v>양호</v>
      </c>
      <c r="G10" s="6">
        <f>RawData!G6</f>
        <v>4</v>
      </c>
      <c r="H10" s="6" t="str">
        <f>RawData!H6</f>
        <v>-</v>
      </c>
      <c r="I10" s="6">
        <f t="shared" ref="I10:I32" si="5">IF(D10="양호",0,IF(D10="보통",3,IF(D10="불량",9)))</f>
        <v>0</v>
      </c>
      <c r="J10" s="6">
        <f t="shared" si="0"/>
        <v>3</v>
      </c>
      <c r="K10" s="6">
        <f t="shared" si="1"/>
        <v>0</v>
      </c>
      <c r="L10" s="6">
        <f t="shared" ref="L10:L32" si="6">IF(G10&gt;=30,2,IF(G10&gt;=10,1,0))</f>
        <v>0</v>
      </c>
      <c r="M10" s="6">
        <f t="shared" si="2"/>
        <v>0</v>
      </c>
      <c r="N10" s="6">
        <f t="shared" si="3"/>
        <v>3</v>
      </c>
      <c r="O10" s="6" t="str">
        <f t="shared" si="4"/>
        <v>일반</v>
      </c>
      <c r="P10" s="7" t="str">
        <f>RawData!P6</f>
        <v>-</v>
      </c>
    </row>
    <row r="11" spans="1:19" x14ac:dyDescent="0.3">
      <c r="A11" s="6" t="str">
        <f>RIGHT(RawData!A7,2)</f>
        <v>03</v>
      </c>
      <c r="B11" s="6" t="str">
        <f>RawData!B7</f>
        <v>강남대로</v>
      </c>
      <c r="C11" s="6" t="str">
        <f>RawData!C7</f>
        <v>26-강남구-03</v>
      </c>
      <c r="D11" s="6" t="str">
        <f>RawData!D7</f>
        <v>양호</v>
      </c>
      <c r="E11" s="6" t="str">
        <f>RawData!E7</f>
        <v>거북등</v>
      </c>
      <c r="F11" s="6" t="str">
        <f>RawData!F7</f>
        <v>양호</v>
      </c>
      <c r="G11" s="6">
        <f>RawData!G7</f>
        <v>4</v>
      </c>
      <c r="H11" s="6" t="str">
        <f>RawData!H7</f>
        <v>-</v>
      </c>
      <c r="I11" s="6">
        <f t="shared" si="5"/>
        <v>0</v>
      </c>
      <c r="J11" s="6">
        <f t="shared" si="0"/>
        <v>3</v>
      </c>
      <c r="K11" s="6">
        <f t="shared" si="1"/>
        <v>0</v>
      </c>
      <c r="L11" s="6">
        <f t="shared" si="6"/>
        <v>0</v>
      </c>
      <c r="M11" s="6">
        <f t="shared" si="2"/>
        <v>0</v>
      </c>
      <c r="N11" s="6">
        <f t="shared" si="3"/>
        <v>3</v>
      </c>
      <c r="O11" s="6" t="str">
        <f t="shared" si="4"/>
        <v>일반</v>
      </c>
      <c r="P11" s="7" t="str">
        <f>RawData!P7</f>
        <v>-</v>
      </c>
    </row>
    <row r="12" spans="1:19" x14ac:dyDescent="0.3">
      <c r="A12" s="6" t="str">
        <f>RIGHT(RawData!A8,2)</f>
        <v>04</v>
      </c>
      <c r="B12" s="6" t="str">
        <f>RawData!B8</f>
        <v>강남대로</v>
      </c>
      <c r="C12" s="6" t="str">
        <f>RawData!C8</f>
        <v>26-강남구-04</v>
      </c>
      <c r="D12" s="6" t="str">
        <f>RawData!D8</f>
        <v>양호</v>
      </c>
      <c r="E12" s="6" t="str">
        <f>RawData!E8</f>
        <v>거북등</v>
      </c>
      <c r="F12" s="6" t="str">
        <f>RawData!F8</f>
        <v>양호</v>
      </c>
      <c r="G12" s="6">
        <f>RawData!G8</f>
        <v>4</v>
      </c>
      <c r="H12" s="6" t="str">
        <f>RawData!H8</f>
        <v>-</v>
      </c>
      <c r="I12" s="6">
        <f t="shared" si="5"/>
        <v>0</v>
      </c>
      <c r="J12" s="6">
        <f t="shared" si="0"/>
        <v>3</v>
      </c>
      <c r="K12" s="6">
        <f t="shared" si="1"/>
        <v>0</v>
      </c>
      <c r="L12" s="6">
        <f t="shared" si="6"/>
        <v>0</v>
      </c>
      <c r="M12" s="6">
        <f t="shared" si="2"/>
        <v>0</v>
      </c>
      <c r="N12" s="6">
        <f t="shared" si="3"/>
        <v>3</v>
      </c>
      <c r="O12" s="6" t="str">
        <f t="shared" si="4"/>
        <v>일반</v>
      </c>
      <c r="P12" s="7" t="str">
        <f>RawData!P8</f>
        <v>-</v>
      </c>
    </row>
    <row r="13" spans="1:19" x14ac:dyDescent="0.3">
      <c r="A13" s="6" t="str">
        <f>RIGHT(RawData!A9,2)</f>
        <v>05</v>
      </c>
      <c r="B13" s="6" t="str">
        <f>RawData!B9</f>
        <v>강남대로</v>
      </c>
      <c r="C13" s="6" t="str">
        <f>RawData!C9</f>
        <v>26-강남구-05</v>
      </c>
      <c r="D13" s="6" t="str">
        <f>RawData!D9</f>
        <v>양호</v>
      </c>
      <c r="E13" s="6" t="str">
        <f>RawData!E9</f>
        <v>거북등</v>
      </c>
      <c r="F13" s="6" t="str">
        <f>RawData!F9</f>
        <v>양호</v>
      </c>
      <c r="G13" s="6">
        <f>RawData!G9</f>
        <v>4</v>
      </c>
      <c r="H13" s="6" t="str">
        <f>RawData!H9</f>
        <v>-</v>
      </c>
      <c r="I13" s="6">
        <f t="shared" si="5"/>
        <v>0</v>
      </c>
      <c r="J13" s="6">
        <f t="shared" si="0"/>
        <v>3</v>
      </c>
      <c r="K13" s="6">
        <f t="shared" si="1"/>
        <v>0</v>
      </c>
      <c r="L13" s="6">
        <f t="shared" si="6"/>
        <v>0</v>
      </c>
      <c r="M13" s="6">
        <f t="shared" si="2"/>
        <v>0</v>
      </c>
      <c r="N13" s="6">
        <f t="shared" si="3"/>
        <v>3</v>
      </c>
      <c r="O13" s="6" t="str">
        <f t="shared" si="4"/>
        <v>일반</v>
      </c>
      <c r="P13" s="7" t="str">
        <f>RawData!P9</f>
        <v>-</v>
      </c>
    </row>
    <row r="14" spans="1:19" x14ac:dyDescent="0.3">
      <c r="A14" s="6" t="str">
        <f>RIGHT(RawData!A10,2)</f>
        <v>06</v>
      </c>
      <c r="B14" s="6" t="str">
        <f>RawData!B10</f>
        <v>강남대로</v>
      </c>
      <c r="C14" s="6" t="str">
        <f>RawData!C10</f>
        <v>26-강남구-06</v>
      </c>
      <c r="D14" s="6" t="str">
        <f>RawData!D10</f>
        <v>양호</v>
      </c>
      <c r="E14" s="6" t="str">
        <f>RawData!E10</f>
        <v>거북등</v>
      </c>
      <c r="F14" s="6" t="str">
        <f>RawData!F10</f>
        <v>양호</v>
      </c>
      <c r="G14" s="6">
        <f>RawData!G10</f>
        <v>4</v>
      </c>
      <c r="H14" s="6" t="str">
        <f>RawData!H10</f>
        <v>-</v>
      </c>
      <c r="I14" s="6">
        <f t="shared" si="5"/>
        <v>0</v>
      </c>
      <c r="J14" s="6">
        <f t="shared" si="0"/>
        <v>3</v>
      </c>
      <c r="K14" s="6">
        <f t="shared" si="1"/>
        <v>0</v>
      </c>
      <c r="L14" s="6">
        <f t="shared" si="6"/>
        <v>0</v>
      </c>
      <c r="M14" s="6">
        <f t="shared" si="2"/>
        <v>0</v>
      </c>
      <c r="N14" s="6">
        <f t="shared" si="3"/>
        <v>3</v>
      </c>
      <c r="O14" s="6" t="str">
        <f t="shared" si="4"/>
        <v>일반</v>
      </c>
      <c r="P14" s="7" t="str">
        <f>RawData!P10</f>
        <v>-</v>
      </c>
    </row>
    <row r="15" spans="1:19" x14ac:dyDescent="0.3">
      <c r="A15" s="6" t="str">
        <f>RIGHT(RawData!A11,2)</f>
        <v>07</v>
      </c>
      <c r="B15" s="6" t="str">
        <f>RawData!B11</f>
        <v>강남대로</v>
      </c>
      <c r="C15" s="6" t="str">
        <f>RawData!C11</f>
        <v>26-강남구-07</v>
      </c>
      <c r="D15" s="6" t="str">
        <f>RawData!D11</f>
        <v>양호</v>
      </c>
      <c r="E15" s="6" t="str">
        <f>RawData!E11</f>
        <v>거북등</v>
      </c>
      <c r="F15" s="6" t="str">
        <f>RawData!F11</f>
        <v>양호</v>
      </c>
      <c r="G15" s="6">
        <f>RawData!G11</f>
        <v>4</v>
      </c>
      <c r="H15" s="6" t="str">
        <f>RawData!H11</f>
        <v>-</v>
      </c>
      <c r="I15" s="6">
        <f t="shared" si="5"/>
        <v>0</v>
      </c>
      <c r="J15" s="6">
        <f t="shared" si="0"/>
        <v>3</v>
      </c>
      <c r="K15" s="6">
        <f t="shared" si="1"/>
        <v>0</v>
      </c>
      <c r="L15" s="6">
        <f t="shared" si="6"/>
        <v>0</v>
      </c>
      <c r="M15" s="6">
        <f t="shared" si="2"/>
        <v>0</v>
      </c>
      <c r="N15" s="6">
        <f t="shared" si="3"/>
        <v>3</v>
      </c>
      <c r="O15" s="6" t="str">
        <f t="shared" si="4"/>
        <v>일반</v>
      </c>
      <c r="P15" s="7" t="str">
        <f>RawData!P11</f>
        <v>-</v>
      </c>
    </row>
    <row r="16" spans="1:19" x14ac:dyDescent="0.3">
      <c r="A16" s="6" t="str">
        <f>RIGHT(RawData!A12,2)</f>
        <v>08</v>
      </c>
      <c r="B16" s="6" t="str">
        <f>RawData!B12</f>
        <v>강남대로</v>
      </c>
      <c r="C16" s="6" t="str">
        <f>RawData!C12</f>
        <v>26-강남구-08</v>
      </c>
      <c r="D16" s="6" t="str">
        <f>RawData!D12</f>
        <v>양호</v>
      </c>
      <c r="E16" s="6" t="str">
        <f>RawData!E12</f>
        <v>거북등</v>
      </c>
      <c r="F16" s="6" t="str">
        <f>RawData!F12</f>
        <v>양호</v>
      </c>
      <c r="G16" s="6">
        <f>RawData!G12</f>
        <v>4</v>
      </c>
      <c r="H16" s="6" t="str">
        <f>RawData!H12</f>
        <v>-</v>
      </c>
      <c r="I16" s="6">
        <f t="shared" si="5"/>
        <v>0</v>
      </c>
      <c r="J16" s="6">
        <f t="shared" si="0"/>
        <v>3</v>
      </c>
      <c r="K16" s="6">
        <f t="shared" si="1"/>
        <v>0</v>
      </c>
      <c r="L16" s="6">
        <f t="shared" si="6"/>
        <v>0</v>
      </c>
      <c r="M16" s="6">
        <f t="shared" si="2"/>
        <v>0</v>
      </c>
      <c r="N16" s="6">
        <f t="shared" si="3"/>
        <v>3</v>
      </c>
      <c r="O16" s="6" t="str">
        <f t="shared" si="4"/>
        <v>일반</v>
      </c>
      <c r="P16" s="7" t="str">
        <f>RawData!P12</f>
        <v>-</v>
      </c>
    </row>
    <row r="17" spans="1:16" x14ac:dyDescent="0.3">
      <c r="A17" s="6" t="str">
        <f>RIGHT(RawData!A13,2)</f>
        <v>09</v>
      </c>
      <c r="B17" s="6" t="str">
        <f>RawData!B13</f>
        <v>강남대로</v>
      </c>
      <c r="C17" s="6" t="str">
        <f>RawData!C13</f>
        <v>26-강남구-09</v>
      </c>
      <c r="D17" s="6" t="str">
        <f>RawData!D13</f>
        <v>양호</v>
      </c>
      <c r="E17" s="6" t="str">
        <f>RawData!E13</f>
        <v>거북등</v>
      </c>
      <c r="F17" s="6" t="str">
        <f>RawData!F13</f>
        <v>양호</v>
      </c>
      <c r="G17" s="6">
        <f>RawData!G13</f>
        <v>4</v>
      </c>
      <c r="H17" s="6" t="str">
        <f>RawData!H13</f>
        <v>-</v>
      </c>
      <c r="I17" s="6">
        <f t="shared" si="5"/>
        <v>0</v>
      </c>
      <c r="J17" s="6">
        <f t="shared" si="0"/>
        <v>3</v>
      </c>
      <c r="K17" s="6">
        <f t="shared" si="1"/>
        <v>0</v>
      </c>
      <c r="L17" s="6">
        <f t="shared" si="6"/>
        <v>0</v>
      </c>
      <c r="M17" s="6">
        <f t="shared" si="2"/>
        <v>0</v>
      </c>
      <c r="N17" s="6">
        <f t="shared" si="3"/>
        <v>3</v>
      </c>
      <c r="O17" s="6" t="str">
        <f t="shared" si="4"/>
        <v>일반</v>
      </c>
      <c r="P17" s="7" t="str">
        <f>RawData!P13</f>
        <v>-</v>
      </c>
    </row>
    <row r="18" spans="1:16" x14ac:dyDescent="0.3">
      <c r="A18" s="6" t="str">
        <f>RIGHT(RawData!A14,2)</f>
        <v>10</v>
      </c>
      <c r="B18" s="6" t="str">
        <f>RawData!B14</f>
        <v>강남대로</v>
      </c>
      <c r="C18" s="6" t="str">
        <f>RawData!C14</f>
        <v>26-강남구-10</v>
      </c>
      <c r="D18" s="6" t="str">
        <f>RawData!D14</f>
        <v>양호</v>
      </c>
      <c r="E18" s="6" t="str">
        <f>RawData!E14</f>
        <v>종균열</v>
      </c>
      <c r="F18" s="6" t="str">
        <f>RawData!F14</f>
        <v>양호</v>
      </c>
      <c r="G18" s="6">
        <f>RawData!G14</f>
        <v>4</v>
      </c>
      <c r="H18" s="6" t="str">
        <f>RawData!H14</f>
        <v>-</v>
      </c>
      <c r="I18" s="6">
        <f t="shared" si="5"/>
        <v>0</v>
      </c>
      <c r="J18" s="6">
        <f t="shared" si="0"/>
        <v>1</v>
      </c>
      <c r="K18" s="6">
        <f t="shared" si="1"/>
        <v>0</v>
      </c>
      <c r="L18" s="6">
        <f t="shared" si="6"/>
        <v>0</v>
      </c>
      <c r="M18" s="6">
        <f t="shared" si="2"/>
        <v>0</v>
      </c>
      <c r="N18" s="6">
        <f t="shared" si="3"/>
        <v>1</v>
      </c>
      <c r="O18" s="6" t="str">
        <f t="shared" si="4"/>
        <v>일반</v>
      </c>
      <c r="P18" s="7" t="str">
        <f>RawData!P14</f>
        <v>-</v>
      </c>
    </row>
    <row r="19" spans="1:16" x14ac:dyDescent="0.3">
      <c r="A19" s="6" t="str">
        <f>RIGHT(RawData!A15,2)</f>
        <v>11</v>
      </c>
      <c r="B19" s="6" t="str">
        <f>RawData!B15</f>
        <v>강남대로</v>
      </c>
      <c r="C19" s="6" t="str">
        <f>RawData!C15</f>
        <v>26-강남구-11</v>
      </c>
      <c r="D19" s="6" t="str">
        <f>RawData!D15</f>
        <v>양호</v>
      </c>
      <c r="E19" s="6" t="str">
        <f>RawData!E15</f>
        <v>거북등</v>
      </c>
      <c r="F19" s="6" t="str">
        <f>RawData!F15</f>
        <v>양호</v>
      </c>
      <c r="G19" s="6">
        <f>RawData!G15</f>
        <v>4</v>
      </c>
      <c r="H19" s="6" t="str">
        <f>RawData!H15</f>
        <v>-</v>
      </c>
      <c r="I19" s="6">
        <f t="shared" si="5"/>
        <v>0</v>
      </c>
      <c r="J19" s="6">
        <f t="shared" si="0"/>
        <v>3</v>
      </c>
      <c r="K19" s="6">
        <f t="shared" si="1"/>
        <v>0</v>
      </c>
      <c r="L19" s="6">
        <f t="shared" si="6"/>
        <v>0</v>
      </c>
      <c r="M19" s="6">
        <f t="shared" si="2"/>
        <v>0</v>
      </c>
      <c r="N19" s="6">
        <f t="shared" si="3"/>
        <v>3</v>
      </c>
      <c r="O19" s="6" t="str">
        <f t="shared" si="4"/>
        <v>일반</v>
      </c>
      <c r="P19" s="7" t="str">
        <f>RawData!P15</f>
        <v>-</v>
      </c>
    </row>
    <row r="20" spans="1:16" x14ac:dyDescent="0.3">
      <c r="A20" s="6" t="str">
        <f>RIGHT(RawData!A16,2)</f>
        <v>12</v>
      </c>
      <c r="B20" s="6" t="str">
        <f>RawData!B16</f>
        <v>강남대로</v>
      </c>
      <c r="C20" s="6" t="str">
        <f>RawData!C16</f>
        <v>26-강남구-12</v>
      </c>
      <c r="D20" s="6" t="str">
        <f>RawData!D16</f>
        <v>양호</v>
      </c>
      <c r="E20" s="6" t="str">
        <f>RawData!E16</f>
        <v>거북등</v>
      </c>
      <c r="F20" s="6" t="str">
        <f>RawData!F16</f>
        <v>양호</v>
      </c>
      <c r="G20" s="6">
        <f>RawData!G16</f>
        <v>4</v>
      </c>
      <c r="H20" s="6" t="str">
        <f>RawData!H16</f>
        <v>-</v>
      </c>
      <c r="I20" s="6">
        <f t="shared" si="5"/>
        <v>0</v>
      </c>
      <c r="J20" s="6">
        <f t="shared" si="0"/>
        <v>3</v>
      </c>
      <c r="K20" s="6">
        <f t="shared" si="1"/>
        <v>0</v>
      </c>
      <c r="L20" s="6">
        <f t="shared" si="6"/>
        <v>0</v>
      </c>
      <c r="M20" s="6">
        <f t="shared" si="2"/>
        <v>0</v>
      </c>
      <c r="N20" s="6">
        <f t="shared" si="3"/>
        <v>3</v>
      </c>
      <c r="O20" s="6" t="str">
        <f t="shared" si="4"/>
        <v>일반</v>
      </c>
      <c r="P20" s="7" t="str">
        <f>RawData!P16</f>
        <v>-</v>
      </c>
    </row>
    <row r="21" spans="1:16" x14ac:dyDescent="0.3">
      <c r="A21" s="6" t="str">
        <f>RIGHT(RawData!A17,2)</f>
        <v>13</v>
      </c>
      <c r="B21" s="6" t="str">
        <f>RawData!B17</f>
        <v>강남대로</v>
      </c>
      <c r="C21" s="6" t="str">
        <f>RawData!C17</f>
        <v>26-강남구-13</v>
      </c>
      <c r="D21" s="6" t="str">
        <f>RawData!D17</f>
        <v>양호</v>
      </c>
      <c r="E21" s="6" t="str">
        <f>RawData!E17</f>
        <v>거북등</v>
      </c>
      <c r="F21" s="6" t="str">
        <f>RawData!F17</f>
        <v>양호</v>
      </c>
      <c r="G21" s="6">
        <f>RawData!G17</f>
        <v>4</v>
      </c>
      <c r="H21" s="6" t="str">
        <f>RawData!H17</f>
        <v>-</v>
      </c>
      <c r="I21" s="6">
        <f t="shared" si="5"/>
        <v>0</v>
      </c>
      <c r="J21" s="6">
        <f t="shared" si="0"/>
        <v>3</v>
      </c>
      <c r="K21" s="6">
        <f t="shared" si="1"/>
        <v>0</v>
      </c>
      <c r="L21" s="6">
        <f t="shared" si="6"/>
        <v>0</v>
      </c>
      <c r="M21" s="6">
        <f t="shared" si="2"/>
        <v>0</v>
      </c>
      <c r="N21" s="6">
        <f t="shared" si="3"/>
        <v>3</v>
      </c>
      <c r="O21" s="6" t="str">
        <f t="shared" si="4"/>
        <v>일반</v>
      </c>
      <c r="P21" s="7" t="str">
        <f>RawData!P17</f>
        <v>5cm미만 침하</v>
      </c>
    </row>
    <row r="22" spans="1:16" x14ac:dyDescent="0.3">
      <c r="A22" s="6" t="str">
        <f>RIGHT(RawData!A18,2)</f>
        <v>14</v>
      </c>
      <c r="B22" s="6" t="str">
        <f>RawData!B18</f>
        <v>강남대로</v>
      </c>
      <c r="C22" s="6" t="str">
        <f>RawData!C18</f>
        <v>26-강남구-14</v>
      </c>
      <c r="D22" s="6" t="str">
        <f>RawData!D18</f>
        <v>양호</v>
      </c>
      <c r="E22" s="6" t="str">
        <f>RawData!E18</f>
        <v>거북등</v>
      </c>
      <c r="F22" s="6" t="str">
        <f>RawData!F18</f>
        <v>양호</v>
      </c>
      <c r="G22" s="6">
        <f>RawData!G18</f>
        <v>4</v>
      </c>
      <c r="H22" s="6" t="str">
        <f>RawData!H18</f>
        <v>-</v>
      </c>
      <c r="I22" s="6">
        <f t="shared" si="5"/>
        <v>0</v>
      </c>
      <c r="J22" s="6">
        <f t="shared" si="0"/>
        <v>3</v>
      </c>
      <c r="K22" s="6">
        <f t="shared" si="1"/>
        <v>0</v>
      </c>
      <c r="L22" s="6">
        <f t="shared" si="6"/>
        <v>0</v>
      </c>
      <c r="M22" s="6">
        <f t="shared" si="2"/>
        <v>0</v>
      </c>
      <c r="N22" s="6">
        <f t="shared" si="3"/>
        <v>3</v>
      </c>
      <c r="O22" s="6" t="str">
        <f t="shared" si="4"/>
        <v>일반</v>
      </c>
      <c r="P22" s="7" t="str">
        <f>RawData!P18</f>
        <v>-</v>
      </c>
    </row>
    <row r="23" spans="1:16" x14ac:dyDescent="0.3">
      <c r="A23" s="6" t="str">
        <f>RIGHT(RawData!A19,2)</f>
        <v>15</v>
      </c>
      <c r="B23" s="6" t="str">
        <f>RawData!B19</f>
        <v>강남대로</v>
      </c>
      <c r="C23" s="6" t="str">
        <f>RawData!C19</f>
        <v>26-강남구-15</v>
      </c>
      <c r="D23" s="6" t="str">
        <f>RawData!D19</f>
        <v>양호</v>
      </c>
      <c r="E23" s="6" t="str">
        <f>RawData!E19</f>
        <v>거북등</v>
      </c>
      <c r="F23" s="6" t="str">
        <f>RawData!F19</f>
        <v>양호</v>
      </c>
      <c r="G23" s="6">
        <f>RawData!G19</f>
        <v>4</v>
      </c>
      <c r="H23" s="6" t="str">
        <f>RawData!H19</f>
        <v>-</v>
      </c>
      <c r="I23" s="6">
        <f t="shared" si="5"/>
        <v>0</v>
      </c>
      <c r="J23" s="6">
        <f t="shared" si="0"/>
        <v>3</v>
      </c>
      <c r="K23" s="6">
        <f t="shared" si="1"/>
        <v>0</v>
      </c>
      <c r="L23" s="6">
        <f t="shared" si="6"/>
        <v>0</v>
      </c>
      <c r="M23" s="6">
        <f t="shared" si="2"/>
        <v>0</v>
      </c>
      <c r="N23" s="6">
        <f t="shared" si="3"/>
        <v>3</v>
      </c>
      <c r="O23" s="6" t="str">
        <f t="shared" si="4"/>
        <v>일반</v>
      </c>
      <c r="P23" s="7" t="str">
        <f>RawData!P19</f>
        <v>-</v>
      </c>
    </row>
    <row r="24" spans="1:16" x14ac:dyDescent="0.3">
      <c r="A24" s="6" t="str">
        <f>RIGHT(RawData!A20,2)</f>
        <v>16</v>
      </c>
      <c r="B24" s="6" t="str">
        <f>RawData!B20</f>
        <v>강남대로</v>
      </c>
      <c r="C24" s="6" t="str">
        <f>RawData!C20</f>
        <v>26-강남구-16</v>
      </c>
      <c r="D24" s="6" t="str">
        <f>RawData!D20</f>
        <v>양호</v>
      </c>
      <c r="E24" s="6" t="str">
        <f>RawData!E20</f>
        <v>거북등</v>
      </c>
      <c r="F24" s="6" t="str">
        <f>RawData!F20</f>
        <v>양호</v>
      </c>
      <c r="G24" s="6">
        <f>RawData!G20</f>
        <v>4</v>
      </c>
      <c r="H24" s="6" t="str">
        <f>RawData!H20</f>
        <v>-</v>
      </c>
      <c r="I24" s="6">
        <f t="shared" si="5"/>
        <v>0</v>
      </c>
      <c r="J24" s="6">
        <f t="shared" si="0"/>
        <v>3</v>
      </c>
      <c r="K24" s="6">
        <f t="shared" si="1"/>
        <v>0</v>
      </c>
      <c r="L24" s="6">
        <f t="shared" si="6"/>
        <v>0</v>
      </c>
      <c r="M24" s="6">
        <f t="shared" si="2"/>
        <v>0</v>
      </c>
      <c r="N24" s="6">
        <f t="shared" si="3"/>
        <v>3</v>
      </c>
      <c r="O24" s="6" t="str">
        <f t="shared" si="4"/>
        <v>일반</v>
      </c>
      <c r="P24" s="7" t="str">
        <f>RawData!P20</f>
        <v>-</v>
      </c>
    </row>
    <row r="25" spans="1:16" x14ac:dyDescent="0.3">
      <c r="A25" s="6" t="str">
        <f>RIGHT(RawData!A21,2)</f>
        <v>17</v>
      </c>
      <c r="B25" s="6" t="str">
        <f>RawData!B21</f>
        <v>강남대로</v>
      </c>
      <c r="C25" s="6" t="str">
        <f>RawData!C21</f>
        <v>26-강남구-17</v>
      </c>
      <c r="D25" s="6" t="str">
        <f>RawData!D21</f>
        <v>양호</v>
      </c>
      <c r="E25" s="6" t="str">
        <f>RawData!E21</f>
        <v>종균열</v>
      </c>
      <c r="F25" s="6" t="str">
        <f>RawData!F21</f>
        <v>양호</v>
      </c>
      <c r="G25" s="6">
        <f>RawData!G21</f>
        <v>4</v>
      </c>
      <c r="H25" s="6" t="str">
        <f>RawData!H21</f>
        <v>-</v>
      </c>
      <c r="I25" s="6">
        <f t="shared" si="5"/>
        <v>0</v>
      </c>
      <c r="J25" s="6">
        <f t="shared" si="0"/>
        <v>1</v>
      </c>
      <c r="K25" s="6">
        <f t="shared" si="1"/>
        <v>0</v>
      </c>
      <c r="L25" s="6">
        <f t="shared" si="6"/>
        <v>0</v>
      </c>
      <c r="M25" s="6">
        <f t="shared" si="2"/>
        <v>0</v>
      </c>
      <c r="N25" s="6">
        <f t="shared" si="3"/>
        <v>1</v>
      </c>
      <c r="O25" s="6" t="str">
        <f t="shared" si="4"/>
        <v>일반</v>
      </c>
      <c r="P25" s="7" t="str">
        <f>RawData!P21</f>
        <v>-</v>
      </c>
    </row>
    <row r="26" spans="1:16" x14ac:dyDescent="0.3">
      <c r="A26" s="6" t="str">
        <f>RIGHT(RawData!A22,2)</f>
        <v>18</v>
      </c>
      <c r="B26" s="6" t="str">
        <f>RawData!B22</f>
        <v>강남대로</v>
      </c>
      <c r="C26" s="6" t="str">
        <f>RawData!C22</f>
        <v>26-강남구-18</v>
      </c>
      <c r="D26" s="6" t="str">
        <f>RawData!D22</f>
        <v>양호</v>
      </c>
      <c r="E26" s="6" t="str">
        <f>RawData!E22</f>
        <v>거북등</v>
      </c>
      <c r="F26" s="6" t="str">
        <f>RawData!F22</f>
        <v>양호</v>
      </c>
      <c r="G26" s="6">
        <f>RawData!G22</f>
        <v>4</v>
      </c>
      <c r="H26" s="6" t="str">
        <f>RawData!H22</f>
        <v>-</v>
      </c>
      <c r="I26" s="6">
        <f t="shared" si="5"/>
        <v>0</v>
      </c>
      <c r="J26" s="6">
        <f t="shared" si="0"/>
        <v>3</v>
      </c>
      <c r="K26" s="6">
        <f t="shared" si="1"/>
        <v>0</v>
      </c>
      <c r="L26" s="6">
        <f t="shared" si="6"/>
        <v>0</v>
      </c>
      <c r="M26" s="6">
        <f t="shared" si="2"/>
        <v>0</v>
      </c>
      <c r="N26" s="6">
        <f t="shared" si="3"/>
        <v>3</v>
      </c>
      <c r="O26" s="6" t="str">
        <f t="shared" si="4"/>
        <v>일반</v>
      </c>
      <c r="P26" s="7" t="str">
        <f>RawData!P22</f>
        <v>-</v>
      </c>
    </row>
    <row r="27" spans="1:16" x14ac:dyDescent="0.3">
      <c r="A27" s="6" t="str">
        <f>RIGHT(RawData!A23,2)</f>
        <v>19</v>
      </c>
      <c r="B27" s="6" t="str">
        <f>RawData!B23</f>
        <v>강남대로</v>
      </c>
      <c r="C27" s="6" t="str">
        <f>RawData!C23</f>
        <v>26-강남구-19</v>
      </c>
      <c r="D27" s="6" t="str">
        <f>RawData!D23</f>
        <v>양호</v>
      </c>
      <c r="E27" s="6" t="str">
        <f>RawData!E23</f>
        <v>거북등</v>
      </c>
      <c r="F27" s="6" t="str">
        <f>RawData!F23</f>
        <v>양호</v>
      </c>
      <c r="G27" s="6">
        <f>RawData!G23</f>
        <v>4</v>
      </c>
      <c r="H27" s="6" t="str">
        <f>RawData!H23</f>
        <v>-</v>
      </c>
      <c r="I27" s="6">
        <f t="shared" si="5"/>
        <v>0</v>
      </c>
      <c r="J27" s="6">
        <f t="shared" si="0"/>
        <v>3</v>
      </c>
      <c r="K27" s="6">
        <f t="shared" si="1"/>
        <v>0</v>
      </c>
      <c r="L27" s="6">
        <f t="shared" si="6"/>
        <v>0</v>
      </c>
      <c r="M27" s="6">
        <f t="shared" si="2"/>
        <v>0</v>
      </c>
      <c r="N27" s="6">
        <f t="shared" si="3"/>
        <v>3</v>
      </c>
      <c r="O27" s="6" t="str">
        <f t="shared" si="4"/>
        <v>일반</v>
      </c>
      <c r="P27" s="7" t="str">
        <f>RawData!P23</f>
        <v>-</v>
      </c>
    </row>
    <row r="28" spans="1:16" x14ac:dyDescent="0.3">
      <c r="A28" s="6" t="str">
        <f>RIGHT(RawData!A24,2)</f>
        <v>20</v>
      </c>
      <c r="B28" s="6" t="str">
        <f>RawData!B24</f>
        <v>강남대로</v>
      </c>
      <c r="C28" s="6" t="str">
        <f>RawData!C24</f>
        <v>26-강남구-20</v>
      </c>
      <c r="D28" s="6" t="str">
        <f>RawData!D24</f>
        <v>양호</v>
      </c>
      <c r="E28" s="6" t="str">
        <f>RawData!E24</f>
        <v>거북등</v>
      </c>
      <c r="F28" s="6" t="str">
        <f>RawData!F24</f>
        <v>양호</v>
      </c>
      <c r="G28" s="6">
        <f>RawData!G24</f>
        <v>4</v>
      </c>
      <c r="H28" s="6" t="str">
        <f>RawData!H24</f>
        <v>-</v>
      </c>
      <c r="I28" s="6">
        <f t="shared" si="5"/>
        <v>0</v>
      </c>
      <c r="J28" s="6">
        <f t="shared" si="0"/>
        <v>3</v>
      </c>
      <c r="K28" s="6">
        <f t="shared" si="1"/>
        <v>0</v>
      </c>
      <c r="L28" s="6">
        <f t="shared" si="6"/>
        <v>0</v>
      </c>
      <c r="M28" s="6">
        <f t="shared" si="2"/>
        <v>0</v>
      </c>
      <c r="N28" s="6">
        <f t="shared" si="3"/>
        <v>3</v>
      </c>
      <c r="O28" s="6" t="str">
        <f t="shared" si="4"/>
        <v>일반</v>
      </c>
      <c r="P28" s="7" t="str">
        <f>RawData!P24</f>
        <v>-</v>
      </c>
    </row>
    <row r="29" spans="1:16" x14ac:dyDescent="0.3">
      <c r="A29" s="6" t="str">
        <f>RIGHT(RawData!A25,2)</f>
        <v>21</v>
      </c>
      <c r="B29" s="6" t="str">
        <f>RawData!B25</f>
        <v>강남대로</v>
      </c>
      <c r="C29" s="6" t="str">
        <f>RawData!C25</f>
        <v>26-강남구-21</v>
      </c>
      <c r="D29" s="6" t="str">
        <f>RawData!D25</f>
        <v>양호</v>
      </c>
      <c r="E29" s="6" t="str">
        <f>RawData!E25</f>
        <v>거북등</v>
      </c>
      <c r="F29" s="6" t="str">
        <f>RawData!F25</f>
        <v>양호</v>
      </c>
      <c r="G29" s="6">
        <f>RawData!G25</f>
        <v>4</v>
      </c>
      <c r="H29" s="6" t="str">
        <f>RawData!H25</f>
        <v>-</v>
      </c>
      <c r="I29" s="6">
        <f t="shared" si="5"/>
        <v>0</v>
      </c>
      <c r="J29" s="6">
        <f t="shared" si="0"/>
        <v>3</v>
      </c>
      <c r="K29" s="6">
        <f t="shared" si="1"/>
        <v>0</v>
      </c>
      <c r="L29" s="6">
        <f t="shared" si="6"/>
        <v>0</v>
      </c>
      <c r="M29" s="6">
        <f t="shared" si="2"/>
        <v>0</v>
      </c>
      <c r="N29" s="6">
        <f t="shared" si="3"/>
        <v>3</v>
      </c>
      <c r="O29" s="6" t="str">
        <f t="shared" si="4"/>
        <v>일반</v>
      </c>
      <c r="P29" s="7" t="str">
        <f>RawData!P25</f>
        <v>-</v>
      </c>
    </row>
    <row r="30" spans="1:16" x14ac:dyDescent="0.3">
      <c r="A30" s="6" t="str">
        <f>RIGHT(RawData!A26,2)</f>
        <v>22</v>
      </c>
      <c r="B30" s="6" t="str">
        <f>RawData!B26</f>
        <v>강남대로</v>
      </c>
      <c r="C30" s="6" t="str">
        <f>RawData!C26</f>
        <v>26-강남구-22</v>
      </c>
      <c r="D30" s="6" t="str">
        <f>RawData!D26</f>
        <v>양호</v>
      </c>
      <c r="E30" s="6" t="str">
        <f>RawData!E26</f>
        <v>거북등</v>
      </c>
      <c r="F30" s="6" t="str">
        <f>RawData!F26</f>
        <v>양호</v>
      </c>
      <c r="G30" s="6">
        <f>RawData!G26</f>
        <v>4</v>
      </c>
      <c r="H30" s="6" t="str">
        <f>RawData!H26</f>
        <v>-</v>
      </c>
      <c r="I30" s="6">
        <f t="shared" si="5"/>
        <v>0</v>
      </c>
      <c r="J30" s="6">
        <f t="shared" si="0"/>
        <v>3</v>
      </c>
      <c r="K30" s="6">
        <f t="shared" si="1"/>
        <v>0</v>
      </c>
      <c r="L30" s="6">
        <f t="shared" si="6"/>
        <v>0</v>
      </c>
      <c r="M30" s="6">
        <f t="shared" si="2"/>
        <v>0</v>
      </c>
      <c r="N30" s="6">
        <f t="shared" si="3"/>
        <v>3</v>
      </c>
      <c r="O30" s="6" t="str">
        <f t="shared" si="4"/>
        <v>일반</v>
      </c>
      <c r="P30" s="7" t="str">
        <f>RawData!P26</f>
        <v>-</v>
      </c>
    </row>
    <row r="31" spans="1:16" x14ac:dyDescent="0.3">
      <c r="A31" s="6" t="str">
        <f>RIGHT(RawData!A27,2)</f>
        <v>23</v>
      </c>
      <c r="B31" s="6" t="str">
        <f>RawData!B27</f>
        <v>강남대로</v>
      </c>
      <c r="C31" s="6" t="str">
        <f>RawData!C27</f>
        <v>26-강남구-23</v>
      </c>
      <c r="D31" s="6" t="str">
        <f>RawData!D27</f>
        <v>양호</v>
      </c>
      <c r="E31" s="6" t="str">
        <f>RawData!E27</f>
        <v>거북등</v>
      </c>
      <c r="F31" s="6" t="str">
        <f>RawData!F27</f>
        <v>양호</v>
      </c>
      <c r="G31" s="6">
        <f>RawData!G27</f>
        <v>4</v>
      </c>
      <c r="H31" s="6" t="str">
        <f>RawData!H27</f>
        <v>-</v>
      </c>
      <c r="I31" s="6">
        <f t="shared" si="5"/>
        <v>0</v>
      </c>
      <c r="J31" s="6">
        <f t="shared" si="0"/>
        <v>3</v>
      </c>
      <c r="K31" s="6">
        <f t="shared" si="1"/>
        <v>0</v>
      </c>
      <c r="L31" s="6">
        <f t="shared" si="6"/>
        <v>0</v>
      </c>
      <c r="M31" s="6">
        <f t="shared" si="2"/>
        <v>0</v>
      </c>
      <c r="N31" s="6">
        <f t="shared" si="3"/>
        <v>3</v>
      </c>
      <c r="O31" s="6" t="str">
        <f t="shared" si="4"/>
        <v>일반</v>
      </c>
      <c r="P31" s="7" t="str">
        <f>RawData!P27</f>
        <v>-</v>
      </c>
    </row>
    <row r="32" spans="1:16" x14ac:dyDescent="0.3">
      <c r="A32" s="6" t="str">
        <f>RIGHT(RawData!A28,2)</f>
        <v>24</v>
      </c>
      <c r="B32" s="6" t="str">
        <f>RawData!B28</f>
        <v>강남대로</v>
      </c>
      <c r="C32" s="6" t="str">
        <f>RawData!C28</f>
        <v>26-강남구-24</v>
      </c>
      <c r="D32" s="6" t="str">
        <f>RawData!D28</f>
        <v>양호</v>
      </c>
      <c r="E32" s="6" t="str">
        <f>RawData!E28</f>
        <v>거북등</v>
      </c>
      <c r="F32" s="6" t="str">
        <f>RawData!F28</f>
        <v>양호</v>
      </c>
      <c r="G32" s="6">
        <f>RawData!G28</f>
        <v>4</v>
      </c>
      <c r="H32" s="6" t="str">
        <f>RawData!H28</f>
        <v>-</v>
      </c>
      <c r="I32" s="6">
        <f t="shared" si="5"/>
        <v>0</v>
      </c>
      <c r="J32" s="6">
        <f t="shared" si="0"/>
        <v>3</v>
      </c>
      <c r="K32" s="6">
        <f t="shared" si="1"/>
        <v>0</v>
      </c>
      <c r="L32" s="6">
        <f t="shared" si="6"/>
        <v>0</v>
      </c>
      <c r="M32" s="6">
        <f t="shared" si="2"/>
        <v>0</v>
      </c>
      <c r="N32" s="6">
        <f t="shared" si="3"/>
        <v>3</v>
      </c>
      <c r="O32" s="6" t="str">
        <f t="shared" si="4"/>
        <v>일반</v>
      </c>
      <c r="P32" s="7" t="str">
        <f>RawData!P28</f>
        <v>-</v>
      </c>
    </row>
  </sheetData>
  <mergeCells count="20">
    <mergeCell ref="M5:P5"/>
    <mergeCell ref="A4:B4"/>
    <mergeCell ref="C4:D4"/>
    <mergeCell ref="E4:F4"/>
    <mergeCell ref="G4:I4"/>
    <mergeCell ref="J4:L4"/>
    <mergeCell ref="M4:P4"/>
    <mergeCell ref="A5:B5"/>
    <mergeCell ref="C5:D5"/>
    <mergeCell ref="E5:F5"/>
    <mergeCell ref="G5:I5"/>
    <mergeCell ref="J5:L5"/>
    <mergeCell ref="O7:O8"/>
    <mergeCell ref="P7:P8"/>
    <mergeCell ref="A7:A8"/>
    <mergeCell ref="B7:B8"/>
    <mergeCell ref="C7:C8"/>
    <mergeCell ref="D7:H7"/>
    <mergeCell ref="I7:M7"/>
    <mergeCell ref="N7:N8"/>
  </mergeCells>
  <phoneticPr fontId="3" type="noConversion"/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RawData</vt:lpstr>
      <vt:lpstr>V2</vt:lpstr>
      <vt:lpstr>'V2'!Print_Area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2026-06-05T06:08:31Z</dcterms:modified>
</cp:coreProperties>
</file>