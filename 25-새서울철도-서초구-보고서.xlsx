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gif" ContentType="image/gi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Desktop\GSMM\excel\"/>
    </mc:Choice>
  </mc:AlternateContent>
  <xr:revisionPtr revIDLastSave="0" documentId="13_ncr:1_{ABE986E2-90E9-40A1-8C04-B0A8E8A99387}" xr6:coauthVersionLast="47" xr6:coauthVersionMax="47" xr10:uidLastSave="{00000000-0000-0000-0000-000000000000}"/>
  <bookViews>
    <workbookView xWindow="22824" yWindow="48" windowWidth="23256" windowHeight="12972" tabRatio="500" xr2:uid="{00000000-000D-0000-FFFF-FFFF00000000}"/>
  </bookViews>
  <sheets>
    <sheet name="RawData" sheetId="1" r:id="rId1"/>
    <sheet name="V1" sheetId="2" r:id="rId2"/>
    <sheet name="V2" sheetId="3" r:id="rId3"/>
    <sheet name="범례" sheetId="4" r:id="rId4"/>
  </sheets>
  <definedNames>
    <definedName name="_xlnm.Print_Area" localSheetId="0">RawData!$A$1:$T$45</definedName>
    <definedName name="_xlnm.Print_Area" localSheetId="1">'V1'!$A$1:$C$44</definedName>
    <definedName name="_xlnm.Print_Area" localSheetId="2">'V2'!$A$1:$P$30</definedName>
    <definedName name="_xlnm.Print_Titles" localSheetId="1">'V1'!$5:$5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P48" i="3" l="1"/>
  <c r="H48" i="3"/>
  <c r="M48" i="3" s="1"/>
  <c r="G48" i="3"/>
  <c r="L48" i="3" s="1"/>
  <c r="F48" i="3"/>
  <c r="K48" i="3" s="1"/>
  <c r="E48" i="3"/>
  <c r="J48" i="3" s="1"/>
  <c r="D48" i="3"/>
  <c r="I48" i="3" s="1"/>
  <c r="C48" i="3"/>
  <c r="B48" i="3"/>
  <c r="P47" i="3"/>
  <c r="M47" i="3"/>
  <c r="L47" i="3"/>
  <c r="H47" i="3"/>
  <c r="G47" i="3"/>
  <c r="F47" i="3"/>
  <c r="K47" i="3" s="1"/>
  <c r="E47" i="3"/>
  <c r="J47" i="3" s="1"/>
  <c r="D47" i="3"/>
  <c r="I47" i="3" s="1"/>
  <c r="C47" i="3"/>
  <c r="B47" i="3"/>
  <c r="P46" i="3"/>
  <c r="L46" i="3"/>
  <c r="H46" i="3"/>
  <c r="M46" i="3" s="1"/>
  <c r="G46" i="3"/>
  <c r="F46" i="3"/>
  <c r="K46" i="3" s="1"/>
  <c r="E46" i="3"/>
  <c r="J46" i="3" s="1"/>
  <c r="D46" i="3"/>
  <c r="I46" i="3" s="1"/>
  <c r="C46" i="3"/>
  <c r="B46" i="3"/>
  <c r="P45" i="3"/>
  <c r="H45" i="3"/>
  <c r="M45" i="3" s="1"/>
  <c r="G45" i="3"/>
  <c r="L45" i="3" s="1"/>
  <c r="F45" i="3"/>
  <c r="K45" i="3" s="1"/>
  <c r="E45" i="3"/>
  <c r="J45" i="3" s="1"/>
  <c r="D45" i="3"/>
  <c r="I45" i="3" s="1"/>
  <c r="C45" i="3"/>
  <c r="B45" i="3"/>
  <c r="P44" i="3"/>
  <c r="H44" i="3"/>
  <c r="M44" i="3" s="1"/>
  <c r="G44" i="3"/>
  <c r="L44" i="3" s="1"/>
  <c r="F44" i="3"/>
  <c r="K44" i="3" s="1"/>
  <c r="E44" i="3"/>
  <c r="J44" i="3" s="1"/>
  <c r="D44" i="3"/>
  <c r="I44" i="3" s="1"/>
  <c r="C44" i="3"/>
  <c r="B44" i="3"/>
  <c r="P43" i="3"/>
  <c r="H43" i="3"/>
  <c r="M43" i="3" s="1"/>
  <c r="G43" i="3"/>
  <c r="L43" i="3" s="1"/>
  <c r="F43" i="3"/>
  <c r="K43" i="3" s="1"/>
  <c r="E43" i="3"/>
  <c r="J43" i="3" s="1"/>
  <c r="D43" i="3"/>
  <c r="I43" i="3" s="1"/>
  <c r="C43" i="3"/>
  <c r="B43" i="3"/>
  <c r="P42" i="3"/>
  <c r="M42" i="3"/>
  <c r="L42" i="3"/>
  <c r="H42" i="3"/>
  <c r="G42" i="3"/>
  <c r="F42" i="3"/>
  <c r="K42" i="3" s="1"/>
  <c r="E42" i="3"/>
  <c r="J42" i="3" s="1"/>
  <c r="D42" i="3"/>
  <c r="I42" i="3" s="1"/>
  <c r="C42" i="3"/>
  <c r="B42" i="3"/>
  <c r="P41" i="3"/>
  <c r="H41" i="3"/>
  <c r="M41" i="3" s="1"/>
  <c r="G41" i="3"/>
  <c r="L41" i="3" s="1"/>
  <c r="F41" i="3"/>
  <c r="K41" i="3" s="1"/>
  <c r="E41" i="3"/>
  <c r="J41" i="3" s="1"/>
  <c r="D41" i="3"/>
  <c r="I41" i="3" s="1"/>
  <c r="C41" i="3"/>
  <c r="B41" i="3"/>
  <c r="P40" i="3"/>
  <c r="J40" i="3"/>
  <c r="I40" i="3"/>
  <c r="H40" i="3"/>
  <c r="M40" i="3" s="1"/>
  <c r="G40" i="3"/>
  <c r="L40" i="3" s="1"/>
  <c r="F40" i="3"/>
  <c r="K40" i="3" s="1"/>
  <c r="E40" i="3"/>
  <c r="D40" i="3"/>
  <c r="C40" i="3"/>
  <c r="B40" i="3"/>
  <c r="P39" i="3"/>
  <c r="K39" i="3"/>
  <c r="J39" i="3"/>
  <c r="I39" i="3"/>
  <c r="H39" i="3"/>
  <c r="M39" i="3" s="1"/>
  <c r="G39" i="3"/>
  <c r="L39" i="3" s="1"/>
  <c r="F39" i="3"/>
  <c r="E39" i="3"/>
  <c r="D39" i="3"/>
  <c r="C39" i="3"/>
  <c r="B39" i="3"/>
  <c r="P38" i="3"/>
  <c r="H38" i="3"/>
  <c r="M38" i="3" s="1"/>
  <c r="G38" i="3"/>
  <c r="L38" i="3" s="1"/>
  <c r="F38" i="3"/>
  <c r="K38" i="3" s="1"/>
  <c r="E38" i="3"/>
  <c r="J38" i="3" s="1"/>
  <c r="D38" i="3"/>
  <c r="I38" i="3" s="1"/>
  <c r="C38" i="3"/>
  <c r="B38" i="3"/>
  <c r="P37" i="3"/>
  <c r="H37" i="3"/>
  <c r="M37" i="3" s="1"/>
  <c r="G37" i="3"/>
  <c r="L37" i="3" s="1"/>
  <c r="F37" i="3"/>
  <c r="K37" i="3" s="1"/>
  <c r="E37" i="3"/>
  <c r="J37" i="3" s="1"/>
  <c r="D37" i="3"/>
  <c r="I37" i="3" s="1"/>
  <c r="C37" i="3"/>
  <c r="B37" i="3"/>
  <c r="P36" i="3"/>
  <c r="H36" i="3"/>
  <c r="M36" i="3" s="1"/>
  <c r="G36" i="3"/>
  <c r="L36" i="3" s="1"/>
  <c r="F36" i="3"/>
  <c r="K36" i="3" s="1"/>
  <c r="E36" i="3"/>
  <c r="J36" i="3" s="1"/>
  <c r="D36" i="3"/>
  <c r="I36" i="3" s="1"/>
  <c r="C36" i="3"/>
  <c r="B36" i="3"/>
  <c r="P35" i="3"/>
  <c r="L35" i="3"/>
  <c r="K35" i="3"/>
  <c r="J35" i="3"/>
  <c r="H35" i="3"/>
  <c r="M35" i="3" s="1"/>
  <c r="G35" i="3"/>
  <c r="F35" i="3"/>
  <c r="E35" i="3"/>
  <c r="D35" i="3"/>
  <c r="I35" i="3" s="1"/>
  <c r="C35" i="3"/>
  <c r="B35" i="3"/>
  <c r="P34" i="3"/>
  <c r="L34" i="3"/>
  <c r="K34" i="3"/>
  <c r="H34" i="3"/>
  <c r="M34" i="3" s="1"/>
  <c r="G34" i="3"/>
  <c r="F34" i="3"/>
  <c r="E34" i="3"/>
  <c r="J34" i="3" s="1"/>
  <c r="D34" i="3"/>
  <c r="I34" i="3" s="1"/>
  <c r="C34" i="3"/>
  <c r="B34" i="3"/>
  <c r="P33" i="3"/>
  <c r="H33" i="3"/>
  <c r="M33" i="3" s="1"/>
  <c r="G33" i="3"/>
  <c r="L33" i="3" s="1"/>
  <c r="F33" i="3"/>
  <c r="K33" i="3" s="1"/>
  <c r="E33" i="3"/>
  <c r="J33" i="3" s="1"/>
  <c r="D33" i="3"/>
  <c r="I33" i="3" s="1"/>
  <c r="C33" i="3"/>
  <c r="B33" i="3"/>
  <c r="P32" i="3"/>
  <c r="H32" i="3"/>
  <c r="M32" i="3" s="1"/>
  <c r="G32" i="3"/>
  <c r="L32" i="3" s="1"/>
  <c r="F32" i="3"/>
  <c r="K32" i="3" s="1"/>
  <c r="E32" i="3"/>
  <c r="J32" i="3" s="1"/>
  <c r="D32" i="3"/>
  <c r="I32" i="3" s="1"/>
  <c r="C32" i="3"/>
  <c r="B32" i="3"/>
  <c r="P31" i="3"/>
  <c r="M31" i="3"/>
  <c r="H31" i="3"/>
  <c r="G31" i="3"/>
  <c r="L31" i="3" s="1"/>
  <c r="F31" i="3"/>
  <c r="K31" i="3" s="1"/>
  <c r="E31" i="3"/>
  <c r="J31" i="3" s="1"/>
  <c r="D31" i="3"/>
  <c r="I31" i="3" s="1"/>
  <c r="C31" i="3"/>
  <c r="B31" i="3"/>
  <c r="P30" i="3"/>
  <c r="L30" i="3"/>
  <c r="H30" i="3"/>
  <c r="M30" i="3" s="1"/>
  <c r="G30" i="3"/>
  <c r="F30" i="3"/>
  <c r="K30" i="3" s="1"/>
  <c r="E30" i="3"/>
  <c r="J30" i="3" s="1"/>
  <c r="D30" i="3"/>
  <c r="I30" i="3" s="1"/>
  <c r="C30" i="3"/>
  <c r="B30" i="3"/>
  <c r="P29" i="3"/>
  <c r="H29" i="3"/>
  <c r="M29" i="3" s="1"/>
  <c r="G29" i="3"/>
  <c r="L29" i="3" s="1"/>
  <c r="F29" i="3"/>
  <c r="K29" i="3" s="1"/>
  <c r="E29" i="3"/>
  <c r="J29" i="3" s="1"/>
  <c r="D29" i="3"/>
  <c r="I29" i="3" s="1"/>
  <c r="C29" i="3"/>
  <c r="B29" i="3"/>
  <c r="P28" i="3"/>
  <c r="H28" i="3"/>
  <c r="M28" i="3" s="1"/>
  <c r="G28" i="3"/>
  <c r="L28" i="3" s="1"/>
  <c r="F28" i="3"/>
  <c r="K28" i="3" s="1"/>
  <c r="E28" i="3"/>
  <c r="J28" i="3" s="1"/>
  <c r="N28" i="3" s="1"/>
  <c r="O28" i="3" s="1"/>
  <c r="D28" i="3"/>
  <c r="I28" i="3" s="1"/>
  <c r="C28" i="3"/>
  <c r="B28" i="3"/>
  <c r="P27" i="3"/>
  <c r="H27" i="3"/>
  <c r="M27" i="3" s="1"/>
  <c r="G27" i="3"/>
  <c r="L27" i="3" s="1"/>
  <c r="F27" i="3"/>
  <c r="K27" i="3" s="1"/>
  <c r="E27" i="3"/>
  <c r="J27" i="3" s="1"/>
  <c r="D27" i="3"/>
  <c r="I27" i="3" s="1"/>
  <c r="C27" i="3"/>
  <c r="B27" i="3"/>
  <c r="P26" i="3"/>
  <c r="M26" i="3"/>
  <c r="H26" i="3"/>
  <c r="G26" i="3"/>
  <c r="L26" i="3" s="1"/>
  <c r="F26" i="3"/>
  <c r="K26" i="3" s="1"/>
  <c r="E26" i="3"/>
  <c r="J26" i="3" s="1"/>
  <c r="D26" i="3"/>
  <c r="I26" i="3" s="1"/>
  <c r="C26" i="3"/>
  <c r="B26" i="3"/>
  <c r="P25" i="3"/>
  <c r="H25" i="3"/>
  <c r="M25" i="3" s="1"/>
  <c r="G25" i="3"/>
  <c r="L25" i="3" s="1"/>
  <c r="F25" i="3"/>
  <c r="K25" i="3" s="1"/>
  <c r="E25" i="3"/>
  <c r="J25" i="3" s="1"/>
  <c r="D25" i="3"/>
  <c r="I25" i="3" s="1"/>
  <c r="C25" i="3"/>
  <c r="B25" i="3"/>
  <c r="P24" i="3"/>
  <c r="J24" i="3"/>
  <c r="H24" i="3"/>
  <c r="M24" i="3" s="1"/>
  <c r="G24" i="3"/>
  <c r="L24" i="3" s="1"/>
  <c r="F24" i="3"/>
  <c r="K24" i="3" s="1"/>
  <c r="E24" i="3"/>
  <c r="D24" i="3"/>
  <c r="I24" i="3" s="1"/>
  <c r="C24" i="3"/>
  <c r="B24" i="3"/>
  <c r="P23" i="3"/>
  <c r="J23" i="3"/>
  <c r="H23" i="3"/>
  <c r="M23" i="3" s="1"/>
  <c r="G23" i="3"/>
  <c r="L23" i="3" s="1"/>
  <c r="F23" i="3"/>
  <c r="K23" i="3" s="1"/>
  <c r="E23" i="3"/>
  <c r="D23" i="3"/>
  <c r="I23" i="3" s="1"/>
  <c r="C23" i="3"/>
  <c r="B23" i="3"/>
  <c r="P22" i="3"/>
  <c r="H22" i="3"/>
  <c r="M22" i="3" s="1"/>
  <c r="G22" i="3"/>
  <c r="L22" i="3" s="1"/>
  <c r="F22" i="3"/>
  <c r="K22" i="3" s="1"/>
  <c r="E22" i="3"/>
  <c r="J22" i="3" s="1"/>
  <c r="D22" i="3"/>
  <c r="I22" i="3" s="1"/>
  <c r="C22" i="3"/>
  <c r="B22" i="3"/>
  <c r="P21" i="3"/>
  <c r="H21" i="3"/>
  <c r="M21" i="3" s="1"/>
  <c r="G21" i="3"/>
  <c r="L21" i="3" s="1"/>
  <c r="F21" i="3"/>
  <c r="K21" i="3" s="1"/>
  <c r="E21" i="3"/>
  <c r="J21" i="3" s="1"/>
  <c r="D21" i="3"/>
  <c r="I21" i="3" s="1"/>
  <c r="C21" i="3"/>
  <c r="B21" i="3"/>
  <c r="P20" i="3"/>
  <c r="H20" i="3"/>
  <c r="M20" i="3" s="1"/>
  <c r="G20" i="3"/>
  <c r="L20" i="3" s="1"/>
  <c r="F20" i="3"/>
  <c r="K20" i="3" s="1"/>
  <c r="E20" i="3"/>
  <c r="J20" i="3" s="1"/>
  <c r="D20" i="3"/>
  <c r="I20" i="3" s="1"/>
  <c r="C20" i="3"/>
  <c r="B20" i="3"/>
  <c r="P19" i="3"/>
  <c r="K19" i="3"/>
  <c r="H19" i="3"/>
  <c r="M19" i="3" s="1"/>
  <c r="G19" i="3"/>
  <c r="L19" i="3" s="1"/>
  <c r="F19" i="3"/>
  <c r="E19" i="3"/>
  <c r="J19" i="3" s="1"/>
  <c r="D19" i="3"/>
  <c r="I19" i="3" s="1"/>
  <c r="C19" i="3"/>
  <c r="B19" i="3"/>
  <c r="P18" i="3"/>
  <c r="H18" i="3"/>
  <c r="M18" i="3" s="1"/>
  <c r="G18" i="3"/>
  <c r="L18" i="3" s="1"/>
  <c r="F18" i="3"/>
  <c r="K18" i="3" s="1"/>
  <c r="E18" i="3"/>
  <c r="J18" i="3" s="1"/>
  <c r="D18" i="3"/>
  <c r="I18" i="3" s="1"/>
  <c r="C18" i="3"/>
  <c r="B18" i="3"/>
  <c r="P17" i="3"/>
  <c r="H17" i="3"/>
  <c r="M17" i="3" s="1"/>
  <c r="G17" i="3"/>
  <c r="L17" i="3" s="1"/>
  <c r="F17" i="3"/>
  <c r="K17" i="3" s="1"/>
  <c r="E17" i="3"/>
  <c r="J17" i="3" s="1"/>
  <c r="D17" i="3"/>
  <c r="I17" i="3" s="1"/>
  <c r="C17" i="3"/>
  <c r="B17" i="3"/>
  <c r="P16" i="3"/>
  <c r="J16" i="3"/>
  <c r="H16" i="3"/>
  <c r="M16" i="3" s="1"/>
  <c r="G16" i="3"/>
  <c r="L16" i="3" s="1"/>
  <c r="F16" i="3"/>
  <c r="K16" i="3" s="1"/>
  <c r="E16" i="3"/>
  <c r="D16" i="3"/>
  <c r="I16" i="3" s="1"/>
  <c r="C16" i="3"/>
  <c r="B16" i="3"/>
  <c r="P15" i="3"/>
  <c r="M15" i="3"/>
  <c r="L15" i="3"/>
  <c r="H15" i="3"/>
  <c r="G15" i="3"/>
  <c r="F15" i="3"/>
  <c r="K15" i="3" s="1"/>
  <c r="E15" i="3"/>
  <c r="J15" i="3" s="1"/>
  <c r="D15" i="3"/>
  <c r="I15" i="3" s="1"/>
  <c r="C15" i="3"/>
  <c r="B15" i="3"/>
  <c r="P14" i="3"/>
  <c r="L14" i="3"/>
  <c r="H14" i="3"/>
  <c r="M14" i="3" s="1"/>
  <c r="G14" i="3"/>
  <c r="F14" i="3"/>
  <c r="K14" i="3" s="1"/>
  <c r="E14" i="3"/>
  <c r="J14" i="3" s="1"/>
  <c r="D14" i="3"/>
  <c r="I14" i="3" s="1"/>
  <c r="C14" i="3"/>
  <c r="B14" i="3"/>
  <c r="P13" i="3"/>
  <c r="H13" i="3"/>
  <c r="M13" i="3" s="1"/>
  <c r="G13" i="3"/>
  <c r="L13" i="3" s="1"/>
  <c r="F13" i="3"/>
  <c r="K13" i="3" s="1"/>
  <c r="E13" i="3"/>
  <c r="J13" i="3" s="1"/>
  <c r="D13" i="3"/>
  <c r="I13" i="3" s="1"/>
  <c r="C13" i="3"/>
  <c r="B13" i="3"/>
  <c r="P12" i="3"/>
  <c r="H12" i="3"/>
  <c r="M12" i="3" s="1"/>
  <c r="G12" i="3"/>
  <c r="L12" i="3" s="1"/>
  <c r="F12" i="3"/>
  <c r="K12" i="3" s="1"/>
  <c r="E12" i="3"/>
  <c r="J12" i="3" s="1"/>
  <c r="D12" i="3"/>
  <c r="I12" i="3" s="1"/>
  <c r="C12" i="3"/>
  <c r="B12" i="3"/>
  <c r="P11" i="3"/>
  <c r="H11" i="3"/>
  <c r="M11" i="3" s="1"/>
  <c r="G11" i="3"/>
  <c r="L11" i="3" s="1"/>
  <c r="F11" i="3"/>
  <c r="K11" i="3" s="1"/>
  <c r="E11" i="3"/>
  <c r="J11" i="3" s="1"/>
  <c r="D11" i="3"/>
  <c r="I11" i="3" s="1"/>
  <c r="C11" i="3"/>
  <c r="B11" i="3"/>
  <c r="P10" i="3"/>
  <c r="M10" i="3"/>
  <c r="H10" i="3"/>
  <c r="G10" i="3"/>
  <c r="L10" i="3" s="1"/>
  <c r="F10" i="3"/>
  <c r="K10" i="3" s="1"/>
  <c r="E10" i="3"/>
  <c r="J10" i="3" s="1"/>
  <c r="D10" i="3"/>
  <c r="I10" i="3" s="1"/>
  <c r="C10" i="3"/>
  <c r="B10" i="3"/>
  <c r="P9" i="3"/>
  <c r="H9" i="3"/>
  <c r="M9" i="3" s="1"/>
  <c r="G9" i="3"/>
  <c r="L9" i="3" s="1"/>
  <c r="F9" i="3"/>
  <c r="K9" i="3" s="1"/>
  <c r="E9" i="3"/>
  <c r="J9" i="3" s="1"/>
  <c r="D9" i="3"/>
  <c r="I9" i="3" s="1"/>
  <c r="C9" i="3"/>
  <c r="B9" i="3"/>
  <c r="C44" i="2"/>
  <c r="A44" i="2"/>
  <c r="C43" i="2"/>
  <c r="A43" i="2"/>
  <c r="C42" i="2"/>
  <c r="A42" i="2"/>
  <c r="C41" i="2"/>
  <c r="A41" i="2"/>
  <c r="C40" i="2"/>
  <c r="A40" i="2"/>
  <c r="C39" i="2"/>
  <c r="A39" i="2"/>
  <c r="C38" i="2"/>
  <c r="A38" i="2"/>
  <c r="C37" i="2"/>
  <c r="A37" i="2"/>
  <c r="C36" i="2"/>
  <c r="A36" i="2"/>
  <c r="C35" i="2"/>
  <c r="A35" i="2"/>
  <c r="C34" i="2"/>
  <c r="A34" i="2"/>
  <c r="C33" i="2"/>
  <c r="A33" i="2"/>
  <c r="C32" i="2"/>
  <c r="A32" i="2"/>
  <c r="C31" i="2"/>
  <c r="A31" i="2"/>
  <c r="C30" i="2"/>
  <c r="A30" i="2"/>
  <c r="C29" i="2"/>
  <c r="A29" i="2"/>
  <c r="C28" i="2"/>
  <c r="A28" i="2"/>
  <c r="C27" i="2"/>
  <c r="A27" i="2"/>
  <c r="C26" i="2"/>
  <c r="A26" i="2"/>
  <c r="C25" i="2"/>
  <c r="A25" i="2"/>
  <c r="C24" i="2"/>
  <c r="A24" i="2"/>
  <c r="C23" i="2"/>
  <c r="A23" i="2"/>
  <c r="C22" i="2"/>
  <c r="A22" i="2"/>
  <c r="C21" i="2"/>
  <c r="A21" i="2"/>
  <c r="C20" i="2"/>
  <c r="A20" i="2"/>
  <c r="C19" i="2"/>
  <c r="A19" i="2"/>
  <c r="C18" i="2"/>
  <c r="A18" i="2"/>
  <c r="C17" i="2"/>
  <c r="A17" i="2"/>
  <c r="C16" i="2"/>
  <c r="A16" i="2"/>
  <c r="C15" i="2"/>
  <c r="A15" i="2"/>
  <c r="C14" i="2"/>
  <c r="A14" i="2"/>
  <c r="C13" i="2"/>
  <c r="A13" i="2"/>
  <c r="C12" i="2"/>
  <c r="A12" i="2"/>
  <c r="C11" i="2"/>
  <c r="A11" i="2"/>
  <c r="C10" i="2"/>
  <c r="A10" i="2"/>
  <c r="C9" i="2"/>
  <c r="A9" i="2"/>
  <c r="C8" i="2"/>
  <c r="A8" i="2"/>
  <c r="C7" i="2"/>
  <c r="A7" i="2"/>
  <c r="C6" i="2"/>
  <c r="A6" i="2"/>
  <c r="C5" i="2"/>
  <c r="A5" i="2"/>
  <c r="M45" i="1"/>
  <c r="L45" i="1"/>
  <c r="K45" i="1"/>
  <c r="J45" i="1"/>
  <c r="I45" i="1"/>
  <c r="C45" i="1"/>
  <c r="M44" i="1"/>
  <c r="L44" i="1"/>
  <c r="K44" i="1"/>
  <c r="J44" i="1"/>
  <c r="I44" i="1"/>
  <c r="N44" i="1" s="1"/>
  <c r="O44" i="1" s="1"/>
  <c r="C44" i="1"/>
  <c r="M43" i="1"/>
  <c r="L43" i="1"/>
  <c r="K43" i="1"/>
  <c r="J43" i="1"/>
  <c r="I43" i="1"/>
  <c r="C43" i="1"/>
  <c r="M42" i="1"/>
  <c r="L42" i="1"/>
  <c r="K42" i="1"/>
  <c r="J42" i="1"/>
  <c r="I42" i="1"/>
  <c r="C42" i="1"/>
  <c r="M41" i="1"/>
  <c r="L41" i="1"/>
  <c r="K41" i="1"/>
  <c r="J41" i="1"/>
  <c r="I41" i="1"/>
  <c r="C41" i="1"/>
  <c r="M40" i="1"/>
  <c r="L40" i="1"/>
  <c r="K40" i="1"/>
  <c r="J40" i="1"/>
  <c r="I40" i="1"/>
  <c r="N40" i="1" s="1"/>
  <c r="O40" i="1" s="1"/>
  <c r="C40" i="1"/>
  <c r="M39" i="1"/>
  <c r="L39" i="1"/>
  <c r="K39" i="1"/>
  <c r="J39" i="1"/>
  <c r="I39" i="1"/>
  <c r="N39" i="1" s="1"/>
  <c r="O39" i="1" s="1"/>
  <c r="C39" i="1"/>
  <c r="M38" i="1"/>
  <c r="L38" i="1"/>
  <c r="K38" i="1"/>
  <c r="J38" i="1"/>
  <c r="I38" i="1"/>
  <c r="C38" i="1"/>
  <c r="M37" i="1"/>
  <c r="L37" i="1"/>
  <c r="K37" i="1"/>
  <c r="J37" i="1"/>
  <c r="I37" i="1"/>
  <c r="C37" i="1"/>
  <c r="M36" i="1"/>
  <c r="L36" i="1"/>
  <c r="K36" i="1"/>
  <c r="J36" i="1"/>
  <c r="N36" i="1" s="1"/>
  <c r="O36" i="1" s="1"/>
  <c r="I36" i="1"/>
  <c r="C36" i="1"/>
  <c r="M35" i="1"/>
  <c r="L35" i="1"/>
  <c r="K35" i="1"/>
  <c r="J35" i="1"/>
  <c r="I35" i="1"/>
  <c r="C35" i="1"/>
  <c r="M34" i="1"/>
  <c r="L34" i="1"/>
  <c r="K34" i="1"/>
  <c r="J34" i="1"/>
  <c r="I34" i="1"/>
  <c r="C34" i="1"/>
  <c r="M33" i="1"/>
  <c r="N33" i="1" s="1"/>
  <c r="O33" i="1" s="1"/>
  <c r="L33" i="1"/>
  <c r="K33" i="1"/>
  <c r="J33" i="1"/>
  <c r="I33" i="1"/>
  <c r="C33" i="1"/>
  <c r="M32" i="1"/>
  <c r="L32" i="1"/>
  <c r="K32" i="1"/>
  <c r="J32" i="1"/>
  <c r="I32" i="1"/>
  <c r="C32" i="1"/>
  <c r="M31" i="1"/>
  <c r="L31" i="1"/>
  <c r="K31" i="1"/>
  <c r="J31" i="1"/>
  <c r="I31" i="1"/>
  <c r="C31" i="1"/>
  <c r="M30" i="1"/>
  <c r="L30" i="1"/>
  <c r="K30" i="1"/>
  <c r="N30" i="1" s="1"/>
  <c r="O30" i="1" s="1"/>
  <c r="J30" i="1"/>
  <c r="I30" i="1"/>
  <c r="C30" i="1"/>
  <c r="M29" i="1"/>
  <c r="L29" i="1"/>
  <c r="K29" i="1"/>
  <c r="J29" i="1"/>
  <c r="I29" i="1"/>
  <c r="C29" i="1"/>
  <c r="M28" i="1"/>
  <c r="L28" i="1"/>
  <c r="K28" i="1"/>
  <c r="J28" i="1"/>
  <c r="I28" i="1"/>
  <c r="C28" i="1"/>
  <c r="M27" i="1"/>
  <c r="L27" i="1"/>
  <c r="K27" i="1"/>
  <c r="J27" i="1"/>
  <c r="I27" i="1"/>
  <c r="C27" i="1"/>
  <c r="M26" i="1"/>
  <c r="L26" i="1"/>
  <c r="K26" i="1"/>
  <c r="J26" i="1"/>
  <c r="I26" i="1"/>
  <c r="C26" i="1"/>
  <c r="M25" i="1"/>
  <c r="L25" i="1"/>
  <c r="K25" i="1"/>
  <c r="J25" i="1"/>
  <c r="I25" i="1"/>
  <c r="N25" i="1" s="1"/>
  <c r="O25" i="1" s="1"/>
  <c r="C25" i="1"/>
  <c r="M24" i="1"/>
  <c r="L24" i="1"/>
  <c r="K24" i="1"/>
  <c r="J24" i="1"/>
  <c r="I24" i="1"/>
  <c r="C24" i="1"/>
  <c r="M23" i="1"/>
  <c r="L23" i="1"/>
  <c r="K23" i="1"/>
  <c r="J23" i="1"/>
  <c r="I23" i="1"/>
  <c r="C23" i="1"/>
  <c r="M22" i="1"/>
  <c r="L22" i="1"/>
  <c r="K22" i="1"/>
  <c r="J22" i="1"/>
  <c r="I22" i="1"/>
  <c r="C22" i="1"/>
  <c r="M21" i="1"/>
  <c r="L21" i="1"/>
  <c r="K21" i="1"/>
  <c r="J21" i="1"/>
  <c r="I21" i="1"/>
  <c r="C21" i="1"/>
  <c r="M20" i="1"/>
  <c r="L20" i="1"/>
  <c r="K20" i="1"/>
  <c r="J20" i="1"/>
  <c r="I20" i="1"/>
  <c r="C20" i="1"/>
  <c r="M19" i="1"/>
  <c r="L19" i="1"/>
  <c r="K19" i="1"/>
  <c r="J19" i="1"/>
  <c r="I19" i="1"/>
  <c r="N19" i="1" s="1"/>
  <c r="O19" i="1" s="1"/>
  <c r="C19" i="1"/>
  <c r="M18" i="1"/>
  <c r="L18" i="1"/>
  <c r="K18" i="1"/>
  <c r="J18" i="1"/>
  <c r="I18" i="1"/>
  <c r="C18" i="1"/>
  <c r="M17" i="1"/>
  <c r="L17" i="1"/>
  <c r="K17" i="1"/>
  <c r="J17" i="1"/>
  <c r="I17" i="1"/>
  <c r="N17" i="1" s="1"/>
  <c r="O17" i="1" s="1"/>
  <c r="C17" i="1"/>
  <c r="M16" i="1"/>
  <c r="L16" i="1"/>
  <c r="K16" i="1"/>
  <c r="J16" i="1"/>
  <c r="I16" i="1"/>
  <c r="C16" i="1"/>
  <c r="M15" i="1"/>
  <c r="L15" i="1"/>
  <c r="K15" i="1"/>
  <c r="J15" i="1"/>
  <c r="I15" i="1"/>
  <c r="C15" i="1"/>
  <c r="M14" i="1"/>
  <c r="L14" i="1"/>
  <c r="K14" i="1"/>
  <c r="J14" i="1"/>
  <c r="I14" i="1"/>
  <c r="C14" i="1"/>
  <c r="M13" i="1"/>
  <c r="L13" i="1"/>
  <c r="K13" i="1"/>
  <c r="J13" i="1"/>
  <c r="I13" i="1"/>
  <c r="N13" i="1" s="1"/>
  <c r="O13" i="1" s="1"/>
  <c r="C13" i="1"/>
  <c r="M12" i="1"/>
  <c r="L12" i="1"/>
  <c r="K12" i="1"/>
  <c r="J12" i="1"/>
  <c r="I12" i="1"/>
  <c r="C12" i="1"/>
  <c r="M11" i="1"/>
  <c r="L11" i="1"/>
  <c r="K11" i="1"/>
  <c r="J11" i="1"/>
  <c r="I11" i="1"/>
  <c r="C11" i="1"/>
  <c r="M10" i="1"/>
  <c r="L10" i="1"/>
  <c r="K10" i="1"/>
  <c r="J10" i="1"/>
  <c r="I10" i="1"/>
  <c r="C10" i="1"/>
  <c r="M9" i="1"/>
  <c r="L9" i="1"/>
  <c r="K9" i="1"/>
  <c r="J9" i="1"/>
  <c r="I9" i="1"/>
  <c r="N9" i="1" s="1"/>
  <c r="O9" i="1" s="1"/>
  <c r="C9" i="1"/>
  <c r="M8" i="1"/>
  <c r="N8" i="1" s="1"/>
  <c r="O8" i="1" s="1"/>
  <c r="L8" i="1"/>
  <c r="K8" i="1"/>
  <c r="J8" i="1"/>
  <c r="I8" i="1"/>
  <c r="C8" i="1"/>
  <c r="M7" i="1"/>
  <c r="L7" i="1"/>
  <c r="K7" i="1"/>
  <c r="J7" i="1"/>
  <c r="I7" i="1"/>
  <c r="N7" i="1" s="1"/>
  <c r="O7" i="1" s="1"/>
  <c r="C7" i="1"/>
  <c r="M6" i="1"/>
  <c r="N6" i="1" s="1"/>
  <c r="O6" i="1" s="1"/>
  <c r="L6" i="1"/>
  <c r="K6" i="1"/>
  <c r="J6" i="1"/>
  <c r="I6" i="1"/>
  <c r="C6" i="1"/>
  <c r="N12" i="1" l="1"/>
  <c r="O12" i="1" s="1"/>
  <c r="N35" i="1"/>
  <c r="O35" i="1" s="1"/>
  <c r="N37" i="1"/>
  <c r="O37" i="1" s="1"/>
  <c r="N12" i="3"/>
  <c r="O12" i="3" s="1"/>
  <c r="N42" i="1"/>
  <c r="O42" i="1" s="1"/>
  <c r="N11" i="1"/>
  <c r="O11" i="1" s="1"/>
  <c r="N31" i="1"/>
  <c r="O31" i="1" s="1"/>
  <c r="N27" i="1"/>
  <c r="O27" i="1" s="1"/>
  <c r="N43" i="1"/>
  <c r="O43" i="1" s="1"/>
  <c r="N15" i="1"/>
  <c r="O15" i="1" s="1"/>
  <c r="N21" i="1"/>
  <c r="O21" i="1" s="1"/>
  <c r="N18" i="1"/>
  <c r="O18" i="1" s="1"/>
  <c r="N24" i="1"/>
  <c r="O24" i="1" s="1"/>
  <c r="N25" i="3"/>
  <c r="O25" i="3" s="1"/>
  <c r="N16" i="1"/>
  <c r="O16" i="1" s="1"/>
  <c r="N22" i="1"/>
  <c r="O22" i="1" s="1"/>
  <c r="N28" i="1"/>
  <c r="O28" i="1" s="1"/>
  <c r="N45" i="1"/>
  <c r="O45" i="1" s="1"/>
  <c r="N14" i="1"/>
  <c r="O14" i="1" s="1"/>
  <c r="N34" i="1"/>
  <c r="O34" i="1" s="1"/>
  <c r="N18" i="3"/>
  <c r="O18" i="3" s="1"/>
  <c r="N32" i="3"/>
  <c r="O32" i="3" s="1"/>
  <c r="N34" i="3"/>
  <c r="O34" i="3" s="1"/>
  <c r="N9" i="3"/>
  <c r="O9" i="3" s="1"/>
  <c r="N17" i="3"/>
  <c r="O17" i="3" s="1"/>
  <c r="N16" i="3"/>
  <c r="O16" i="3" s="1"/>
  <c r="N37" i="3"/>
  <c r="O37" i="3" s="1"/>
  <c r="N33" i="3"/>
  <c r="O33" i="3" s="1"/>
  <c r="N41" i="3"/>
  <c r="O41" i="3" s="1"/>
  <c r="N22" i="3"/>
  <c r="O22" i="3" s="1"/>
  <c r="N29" i="3"/>
  <c r="O29" i="3" s="1"/>
  <c r="N44" i="3"/>
  <c r="O44" i="3" s="1"/>
  <c r="N13" i="3"/>
  <c r="O13" i="3" s="1"/>
  <c r="N48" i="3"/>
  <c r="O48" i="3" s="1"/>
  <c r="N21" i="3"/>
  <c r="O21" i="3" s="1"/>
  <c r="N45" i="3"/>
  <c r="O45" i="3" s="1"/>
  <c r="N29" i="1"/>
  <c r="O29" i="1" s="1"/>
  <c r="N11" i="3"/>
  <c r="O11" i="3" s="1"/>
  <c r="N27" i="3"/>
  <c r="O27" i="3" s="1"/>
  <c r="N43" i="3"/>
  <c r="O43" i="3" s="1"/>
  <c r="N20" i="1"/>
  <c r="O20" i="1" s="1"/>
  <c r="N23" i="3"/>
  <c r="O23" i="3" s="1"/>
  <c r="N39" i="3"/>
  <c r="O39" i="3" s="1"/>
  <c r="N41" i="1"/>
  <c r="O41" i="1" s="1"/>
  <c r="N26" i="1"/>
  <c r="O26" i="1" s="1"/>
  <c r="N14" i="3"/>
  <c r="O14" i="3" s="1"/>
  <c r="N24" i="3"/>
  <c r="O24" i="3" s="1"/>
  <c r="N30" i="3"/>
  <c r="O30" i="3" s="1"/>
  <c r="N40" i="3"/>
  <c r="O40" i="3" s="1"/>
  <c r="N46" i="3"/>
  <c r="O46" i="3" s="1"/>
  <c r="N19" i="3"/>
  <c r="O19" i="3" s="1"/>
  <c r="N35" i="3"/>
  <c r="O35" i="3" s="1"/>
  <c r="N32" i="1"/>
  <c r="O32" i="1" s="1"/>
  <c r="N10" i="3"/>
  <c r="O10" i="3" s="1"/>
  <c r="N20" i="3"/>
  <c r="O20" i="3" s="1"/>
  <c r="N26" i="3"/>
  <c r="O26" i="3" s="1"/>
  <c r="N36" i="3"/>
  <c r="O36" i="3" s="1"/>
  <c r="N42" i="3"/>
  <c r="O42" i="3" s="1"/>
  <c r="N38" i="1"/>
  <c r="O38" i="1" s="1"/>
  <c r="N15" i="3"/>
  <c r="O15" i="3" s="1"/>
  <c r="N31" i="3"/>
  <c r="O31" i="3" s="1"/>
  <c r="N47" i="3"/>
  <c r="O47" i="3" s="1"/>
  <c r="N10" i="1"/>
  <c r="O10" i="1" s="1"/>
  <c r="N23" i="1"/>
  <c r="O23" i="1" s="1"/>
  <c r="N38" i="3"/>
  <c r="O38" i="3" s="1"/>
</calcChain>
</file>

<file path=xl/sharedStrings.xml><?xml version="1.0" encoding="utf-8"?>
<sst xmlns="http://schemas.openxmlformats.org/spreadsheetml/2006/main" count="390" uniqueCount="146">
  <si>
    <t>시행년도</t>
  </si>
  <si>
    <t>시행사 구분</t>
  </si>
  <si>
    <t>권역구 구분</t>
  </si>
  <si>
    <t>신분당</t>
  </si>
  <si>
    <t>서초구</t>
  </si>
  <si>
    <t>순번</t>
  </si>
  <si>
    <t>조사측선명</t>
  </si>
  <si>
    <t>손상구분번호</t>
  </si>
  <si>
    <r>
      <rPr>
        <sz val="9"/>
        <color theme="1"/>
        <rFont val="Noto Sans CJK SC"/>
        <family val="2"/>
      </rPr>
      <t>침하</t>
    </r>
    <r>
      <rPr>
        <sz val="9"/>
        <color theme="1"/>
        <rFont val="맑은 고딕"/>
        <family val="3"/>
        <charset val="129"/>
      </rPr>
      <t>(mm)</t>
    </r>
  </si>
  <si>
    <t>균열</t>
  </si>
  <si>
    <t>습윤</t>
  </si>
  <si>
    <r>
      <rPr>
        <sz val="9"/>
        <color theme="1"/>
        <rFont val="Noto Sans CJK SC"/>
        <family val="2"/>
      </rPr>
      <t>노후도</t>
    </r>
    <r>
      <rPr>
        <sz val="9"/>
        <color theme="1"/>
        <rFont val="맑은 고딕"/>
        <family val="3"/>
        <charset val="129"/>
      </rPr>
      <t>(</t>
    </r>
    <r>
      <rPr>
        <sz val="9"/>
        <color theme="1"/>
        <rFont val="Noto Sans CJK SC"/>
        <family val="2"/>
      </rPr>
      <t>년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</si>
  <si>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Noto Sans CJK SC"/>
        <family val="2"/>
      </rPr>
      <t>지반침하 발생 등의 이력</t>
    </r>
    <r>
      <rPr>
        <sz val="9"/>
        <color theme="1"/>
        <rFont val="맑은 고딕"/>
        <family val="3"/>
        <charset val="129"/>
      </rPr>
      <t>(1</t>
    </r>
    <r>
      <rPr>
        <sz val="9"/>
        <color theme="1"/>
        <rFont val="Noto Sans CJK SC"/>
        <family val="2"/>
      </rPr>
      <t>년 이내</t>
    </r>
    <r>
      <rPr>
        <sz val="9"/>
        <color theme="1"/>
        <rFont val="맑은 고딕"/>
        <family val="3"/>
        <charset val="129"/>
      </rPr>
      <t>)</t>
    </r>
  </si>
  <si>
    <t>침하</t>
  </si>
  <si>
    <t>노후도</t>
  </si>
  <si>
    <t>보수보강이력</t>
  </si>
  <si>
    <t>평가점수</t>
  </si>
  <si>
    <t>평가등급</t>
  </si>
  <si>
    <t>조사자 의견</t>
  </si>
  <si>
    <r>
      <rPr>
        <sz val="9"/>
        <color theme="1"/>
        <rFont val="Noto Sans CJK SC"/>
        <family val="2"/>
      </rPr>
      <t>인접지번주소</t>
    </r>
    <r>
      <rPr>
        <sz val="9"/>
        <color theme="1"/>
        <rFont val="맑은 고딕"/>
        <family val="3"/>
        <charset val="129"/>
      </rPr>
      <t>(</t>
    </r>
    <r>
      <rPr>
        <sz val="9"/>
        <color theme="1"/>
        <rFont val="Noto Sans CJK SC"/>
        <family val="2"/>
      </rPr>
      <t>도로명주소</t>
    </r>
    <r>
      <rPr>
        <sz val="9"/>
        <color theme="1"/>
        <rFont val="맑은 고딕"/>
        <family val="3"/>
        <charset val="129"/>
      </rPr>
      <t>)</t>
    </r>
  </si>
  <si>
    <t>조사 위치도</t>
  </si>
  <si>
    <r>
      <rPr>
        <sz val="9"/>
        <color theme="1"/>
        <rFont val="Noto Sans CJK SC"/>
        <family val="2"/>
      </rPr>
      <t xml:space="preserve">부가정보 </t>
    </r>
    <r>
      <rPr>
        <sz val="9"/>
        <color theme="1"/>
        <rFont val="맑은 고딕"/>
        <family val="3"/>
        <charset val="129"/>
      </rPr>
      <t>1</t>
    </r>
  </si>
  <si>
    <r>
      <rPr>
        <sz val="9"/>
        <color theme="1"/>
        <rFont val="Noto Sans CJK SC"/>
        <family val="2"/>
      </rPr>
      <t xml:space="preserve">부가정보 </t>
    </r>
    <r>
      <rPr>
        <sz val="9"/>
        <color theme="1"/>
        <rFont val="맑은 고딕"/>
        <family val="3"/>
        <charset val="129"/>
      </rPr>
      <t>2</t>
    </r>
  </si>
  <si>
    <t>강남대로</t>
  </si>
  <si>
    <t>양호</t>
  </si>
  <si>
    <t>-</t>
  </si>
  <si>
    <r>
      <rPr>
        <sz val="9"/>
        <color theme="1"/>
        <rFont val="맑은 고딕"/>
        <family val="3"/>
        <charset val="129"/>
      </rPr>
      <t>5cm</t>
    </r>
    <r>
      <rPr>
        <sz val="9"/>
        <color theme="1"/>
        <rFont val="Noto Sans CJK SC"/>
        <family val="2"/>
      </rPr>
      <t>미만 침하</t>
    </r>
  </si>
  <si>
    <r>
      <rPr>
        <sz val="9"/>
        <color theme="1"/>
        <rFont val="Noto Sans CJK SC"/>
        <family val="2"/>
      </rPr>
      <t>피난계단 옆</t>
    </r>
    <r>
      <rPr>
        <sz val="9"/>
        <color theme="1"/>
        <rFont val="맑은 고딕"/>
        <family val="3"/>
        <charset val="129"/>
      </rPr>
      <t>(</t>
    </r>
    <r>
      <rPr>
        <sz val="9"/>
        <color theme="1"/>
        <rFont val="Noto Sans CJK SC"/>
        <family val="2"/>
      </rPr>
      <t>상선</t>
    </r>
    <r>
      <rPr>
        <sz val="9"/>
        <color theme="1"/>
        <rFont val="맑은 고딕"/>
        <family val="3"/>
        <charset val="129"/>
      </rPr>
      <t xml:space="preserve">)
</t>
    </r>
    <r>
      <rPr>
        <sz val="9"/>
        <color theme="1"/>
        <rFont val="Noto Sans CJK SC"/>
        <family val="2"/>
      </rPr>
      <t>보도</t>
    </r>
    <r>
      <rPr>
        <sz val="9"/>
        <color theme="1"/>
        <rFont val="맑은 고딕"/>
        <family val="3"/>
        <charset val="129"/>
      </rPr>
      <t xml:space="preserve">
(</t>
    </r>
    <r>
      <rPr>
        <sz val="9"/>
        <color theme="1"/>
        <rFont val="Noto Sans CJK SC"/>
        <family val="2"/>
      </rPr>
      <t>강남대로</t>
    </r>
    <r>
      <rPr>
        <sz val="9"/>
        <color theme="1"/>
        <rFont val="맑은 고딕"/>
        <family val="3"/>
        <charset val="129"/>
      </rPr>
      <t>)</t>
    </r>
  </si>
  <si>
    <t>거북등</t>
  </si>
  <si>
    <r>
      <rPr>
        <sz val="9"/>
        <color theme="1"/>
        <rFont val="Noto Sans CJK SC"/>
        <family val="2"/>
      </rPr>
      <t>신사역 교차로</t>
    </r>
    <r>
      <rPr>
        <sz val="9"/>
        <color theme="1"/>
        <rFont val="맑은 고딕"/>
        <family val="3"/>
        <charset val="129"/>
      </rPr>
      <t xml:space="preserve">
</t>
    </r>
    <r>
      <rPr>
        <sz val="9"/>
        <color theme="1"/>
        <rFont val="Noto Sans CJK SC"/>
        <family val="2"/>
      </rPr>
      <t>도로</t>
    </r>
    <r>
      <rPr>
        <sz val="9"/>
        <color theme="1"/>
        <rFont val="맑은 고딕"/>
        <family val="3"/>
        <charset val="129"/>
      </rPr>
      <t xml:space="preserve">
(</t>
    </r>
    <r>
      <rPr>
        <sz val="9"/>
        <color theme="1"/>
        <rFont val="Noto Sans CJK SC"/>
        <family val="2"/>
      </rPr>
      <t>강남대로</t>
    </r>
    <r>
      <rPr>
        <sz val="9"/>
        <color theme="1"/>
        <rFont val="맑은 고딕"/>
        <family val="3"/>
        <charset val="129"/>
      </rPr>
      <t>)</t>
    </r>
  </si>
  <si>
    <t>횡균열</t>
  </si>
  <si>
    <r>
      <rPr>
        <sz val="9"/>
        <color theme="1"/>
        <rFont val="Noto Sans CJK SC"/>
        <family val="2"/>
      </rPr>
      <t>파리바게트 앞</t>
    </r>
    <r>
      <rPr>
        <sz val="9"/>
        <color theme="1"/>
        <rFont val="맑은 고딕"/>
        <family val="3"/>
        <charset val="129"/>
      </rPr>
      <t xml:space="preserve">
</t>
    </r>
    <r>
      <rPr>
        <sz val="9"/>
        <color theme="1"/>
        <rFont val="Noto Sans CJK SC"/>
        <family val="2"/>
      </rPr>
      <t>도로</t>
    </r>
    <r>
      <rPr>
        <sz val="9"/>
        <color theme="1"/>
        <rFont val="맑은 고딕"/>
        <family val="3"/>
        <charset val="129"/>
      </rPr>
      <t xml:space="preserve">
(</t>
    </r>
    <r>
      <rPr>
        <sz val="9"/>
        <color theme="1"/>
        <rFont val="Noto Sans CJK SC"/>
        <family val="2"/>
      </rPr>
      <t>강남대로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</si>
  <si>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맑은 고딕"/>
        <family val="3"/>
        <charset val="129"/>
      </rPr>
      <t xml:space="preserve">CELL TRION </t>
    </r>
    <r>
      <rPr>
        <sz val="9"/>
        <color theme="1"/>
        <rFont val="Noto Sans CJK SC"/>
        <family val="2"/>
      </rPr>
      <t>앞</t>
    </r>
    <r>
      <rPr>
        <sz val="9"/>
        <color theme="1"/>
        <rFont val="맑은 고딕"/>
        <family val="3"/>
        <charset val="129"/>
      </rPr>
      <t xml:space="preserve">
</t>
    </r>
    <r>
      <rPr>
        <sz val="9"/>
        <color theme="1"/>
        <rFont val="Noto Sans CJK SC"/>
        <family val="2"/>
      </rPr>
      <t>도로</t>
    </r>
    <r>
      <rPr>
        <sz val="9"/>
        <color theme="1"/>
        <rFont val="맑은 고딕"/>
        <family val="3"/>
        <charset val="129"/>
      </rPr>
      <t xml:space="preserve">
(</t>
    </r>
    <r>
      <rPr>
        <sz val="9"/>
        <color theme="1"/>
        <rFont val="Noto Sans CJK SC"/>
        <family val="2"/>
      </rPr>
      <t>강남대로</t>
    </r>
    <r>
      <rPr>
        <sz val="9"/>
        <color theme="1"/>
        <rFont val="맑은 고딕"/>
        <family val="3"/>
        <charset val="129"/>
      </rPr>
      <t>)</t>
    </r>
  </si>
  <si>
    <t>보도침하</t>
  </si>
  <si>
    <r>
      <rPr>
        <sz val="9"/>
        <color theme="1"/>
        <rFont val="맑은 고딕"/>
        <family val="3"/>
        <charset val="129"/>
      </rPr>
      <t xml:space="preserve">CELL TRION </t>
    </r>
    <r>
      <rPr>
        <sz val="9"/>
        <color theme="1"/>
        <rFont val="Noto Sans CJK SC"/>
        <family val="2"/>
      </rPr>
      <t>앞</t>
    </r>
    <r>
      <rPr>
        <sz val="9"/>
        <color theme="1"/>
        <rFont val="맑은 고딕"/>
        <family val="3"/>
        <charset val="129"/>
      </rPr>
      <t xml:space="preserve">
</t>
    </r>
    <r>
      <rPr>
        <sz val="9"/>
        <color theme="1"/>
        <rFont val="Noto Sans CJK SC"/>
        <family val="2"/>
      </rPr>
      <t>보도</t>
    </r>
    <r>
      <rPr>
        <sz val="9"/>
        <color theme="1"/>
        <rFont val="맑은 고딕"/>
        <family val="3"/>
        <charset val="129"/>
      </rPr>
      <t xml:space="preserve">
(</t>
    </r>
    <r>
      <rPr>
        <sz val="9"/>
        <color theme="1"/>
        <rFont val="Noto Sans CJK SC"/>
        <family val="2"/>
      </rPr>
      <t>강남대로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</si>
  <si>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Noto Sans CJK SC"/>
        <family val="2"/>
      </rPr>
      <t>서울미소그린치과 앞</t>
    </r>
    <r>
      <rPr>
        <sz val="9"/>
        <color theme="1"/>
        <rFont val="맑은 고딕"/>
        <family val="3"/>
        <charset val="129"/>
      </rPr>
      <t xml:space="preserve">
</t>
    </r>
    <r>
      <rPr>
        <sz val="9"/>
        <color theme="1"/>
        <rFont val="Noto Sans CJK SC"/>
        <family val="2"/>
      </rPr>
      <t>버스정류장</t>
    </r>
    <r>
      <rPr>
        <sz val="9"/>
        <color theme="1"/>
        <rFont val="맑은 고딕"/>
        <family val="3"/>
        <charset val="129"/>
      </rPr>
      <t xml:space="preserve">
</t>
    </r>
    <r>
      <rPr>
        <sz val="9"/>
        <color theme="1"/>
        <rFont val="Noto Sans CJK SC"/>
        <family val="2"/>
      </rPr>
      <t>도로</t>
    </r>
    <r>
      <rPr>
        <sz val="9"/>
        <color theme="1"/>
        <rFont val="맑은 고딕"/>
        <family val="3"/>
        <charset val="129"/>
      </rPr>
      <t xml:space="preserve">
(</t>
    </r>
    <r>
      <rPr>
        <sz val="9"/>
        <color theme="1"/>
        <rFont val="Noto Sans CJK SC"/>
        <family val="2"/>
      </rPr>
      <t>강남대로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</si>
  <si>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Noto Sans CJK SC"/>
        <family val="2"/>
      </rPr>
      <t>씨티약국 앞</t>
    </r>
    <r>
      <rPr>
        <sz val="9"/>
        <color theme="1"/>
        <rFont val="맑은 고딕"/>
        <family val="3"/>
        <charset val="129"/>
      </rPr>
      <t xml:space="preserve">
</t>
    </r>
    <r>
      <rPr>
        <sz val="9"/>
        <color theme="1"/>
        <rFont val="Noto Sans CJK SC"/>
        <family val="2"/>
      </rPr>
      <t>도로</t>
    </r>
    <r>
      <rPr>
        <sz val="9"/>
        <color theme="1"/>
        <rFont val="맑은 고딕"/>
        <family val="3"/>
        <charset val="129"/>
      </rPr>
      <t xml:space="preserve">
(</t>
    </r>
    <r>
      <rPr>
        <sz val="9"/>
        <color theme="1"/>
        <rFont val="Noto Sans CJK SC"/>
        <family val="2"/>
      </rPr>
      <t>강남대로</t>
    </r>
    <r>
      <rPr>
        <sz val="9"/>
        <color theme="1"/>
        <rFont val="맑은 고딕"/>
        <family val="3"/>
        <charset val="129"/>
      </rPr>
      <t>)</t>
    </r>
  </si>
  <si>
    <t>버스차선 확인불가</t>
  </si>
  <si>
    <r>
      <rPr>
        <sz val="9"/>
        <color theme="1"/>
        <rFont val="Noto Sans CJK SC"/>
        <family val="2"/>
      </rPr>
      <t>스타벅스 앞</t>
    </r>
    <r>
      <rPr>
        <sz val="9"/>
        <color theme="1"/>
        <rFont val="맑은 고딕"/>
        <family val="3"/>
        <charset val="129"/>
      </rPr>
      <t xml:space="preserve">
</t>
    </r>
    <r>
      <rPr>
        <sz val="9"/>
        <color theme="1"/>
        <rFont val="Noto Sans CJK SC"/>
        <family val="2"/>
      </rPr>
      <t>버스차선</t>
    </r>
    <r>
      <rPr>
        <sz val="9"/>
        <color theme="1"/>
        <rFont val="맑은 고딕"/>
        <family val="3"/>
        <charset val="129"/>
      </rPr>
      <t xml:space="preserve">
(</t>
    </r>
    <r>
      <rPr>
        <sz val="9"/>
        <color theme="1"/>
        <rFont val="Noto Sans CJK SC"/>
        <family val="2"/>
      </rPr>
      <t>강남대로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</si>
  <si>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Noto Sans CJK SC"/>
        <family val="2"/>
      </rPr>
      <t>이디아커피 앞</t>
    </r>
    <r>
      <rPr>
        <sz val="9"/>
        <color theme="1"/>
        <rFont val="맑은 고딕"/>
        <family val="3"/>
        <charset val="129"/>
      </rPr>
      <t xml:space="preserve">
</t>
    </r>
    <r>
      <rPr>
        <sz val="9"/>
        <color theme="1"/>
        <rFont val="Noto Sans CJK SC"/>
        <family val="2"/>
      </rPr>
      <t>도로</t>
    </r>
    <r>
      <rPr>
        <sz val="9"/>
        <color theme="1"/>
        <rFont val="맑은 고딕"/>
        <family val="3"/>
        <charset val="129"/>
      </rPr>
      <t xml:space="preserve">
(</t>
    </r>
    <r>
      <rPr>
        <sz val="9"/>
        <color theme="1"/>
        <rFont val="Noto Sans CJK SC"/>
        <family val="2"/>
      </rPr>
      <t>강남대로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</si>
  <si>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Noto Sans CJK SC"/>
        <family val="2"/>
      </rPr>
      <t>하나은행 앞</t>
    </r>
    <r>
      <rPr>
        <sz val="9"/>
        <color theme="1"/>
        <rFont val="맑은 고딕"/>
        <family val="3"/>
        <charset val="129"/>
      </rPr>
      <t xml:space="preserve">
</t>
    </r>
    <r>
      <rPr>
        <sz val="9"/>
        <color theme="1"/>
        <rFont val="Noto Sans CJK SC"/>
        <family val="2"/>
      </rPr>
      <t>도로</t>
    </r>
    <r>
      <rPr>
        <sz val="9"/>
        <color theme="1"/>
        <rFont val="맑은 고딕"/>
        <family val="3"/>
        <charset val="129"/>
      </rPr>
      <t xml:space="preserve">
(</t>
    </r>
    <r>
      <rPr>
        <sz val="9"/>
        <color theme="1"/>
        <rFont val="Noto Sans CJK SC"/>
        <family val="2"/>
      </rPr>
      <t>강남대로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</si>
  <si>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Noto Sans CJK SC"/>
        <family val="2"/>
      </rPr>
      <t>페페신사 앞</t>
    </r>
    <r>
      <rPr>
        <sz val="9"/>
        <color theme="1"/>
        <rFont val="맑은 고딕"/>
        <family val="3"/>
        <charset val="129"/>
      </rPr>
      <t xml:space="preserve">
</t>
    </r>
    <r>
      <rPr>
        <sz val="9"/>
        <color theme="1"/>
        <rFont val="Noto Sans CJK SC"/>
        <family val="2"/>
      </rPr>
      <t>도로</t>
    </r>
    <r>
      <rPr>
        <sz val="9"/>
        <color theme="1"/>
        <rFont val="맑은 고딕"/>
        <family val="3"/>
        <charset val="129"/>
      </rPr>
      <t xml:space="preserve">
(</t>
    </r>
    <r>
      <rPr>
        <sz val="9"/>
        <color theme="1"/>
        <rFont val="Noto Sans CJK SC"/>
        <family val="2"/>
      </rPr>
      <t>강남대로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</si>
  <si>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맑은 고딕"/>
        <family val="3"/>
        <charset val="129"/>
      </rPr>
      <t>HY</t>
    </r>
    <r>
      <rPr>
        <sz val="9"/>
        <color theme="1"/>
        <rFont val="Noto Sans CJK SC"/>
        <family val="2"/>
      </rPr>
      <t>빌딩 앞</t>
    </r>
    <r>
      <rPr>
        <sz val="9"/>
        <color theme="1"/>
        <rFont val="맑은 고딕"/>
        <family val="3"/>
        <charset val="129"/>
      </rPr>
      <t xml:space="preserve">
</t>
    </r>
    <r>
      <rPr>
        <sz val="9"/>
        <color theme="1"/>
        <rFont val="Noto Sans CJK SC"/>
        <family val="2"/>
      </rPr>
      <t>도로</t>
    </r>
    <r>
      <rPr>
        <sz val="9"/>
        <color theme="1"/>
        <rFont val="맑은 고딕"/>
        <family val="3"/>
        <charset val="129"/>
      </rPr>
      <t xml:space="preserve">
(</t>
    </r>
    <r>
      <rPr>
        <sz val="9"/>
        <color theme="1"/>
        <rFont val="Noto Sans CJK SC"/>
        <family val="2"/>
      </rPr>
      <t>강남대로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</si>
  <si>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Noto Sans CJK SC"/>
        <family val="2"/>
      </rPr>
      <t>현장</t>
    </r>
    <r>
      <rPr>
        <sz val="9"/>
        <color theme="1"/>
        <rFont val="맑은 고딕"/>
        <family val="3"/>
        <charset val="129"/>
      </rPr>
      <t>(</t>
    </r>
    <r>
      <rPr>
        <sz val="9"/>
        <color theme="1"/>
        <rFont val="Noto Sans CJK SC"/>
        <family val="2"/>
      </rPr>
      <t>잠원동</t>
    </r>
    <r>
      <rPr>
        <sz val="9"/>
        <color theme="1"/>
        <rFont val="맑은 고딕"/>
        <family val="3"/>
        <charset val="129"/>
      </rPr>
      <t xml:space="preserve">28-6) </t>
    </r>
    <r>
      <rPr>
        <sz val="9"/>
        <color theme="1"/>
        <rFont val="Noto Sans CJK SC"/>
        <family val="2"/>
      </rPr>
      <t>앞</t>
    </r>
    <r>
      <rPr>
        <sz val="9"/>
        <color theme="1"/>
        <rFont val="맑은 고딕"/>
        <family val="3"/>
        <charset val="129"/>
      </rPr>
      <t xml:space="preserve">
</t>
    </r>
    <r>
      <rPr>
        <sz val="9"/>
        <color theme="1"/>
        <rFont val="Noto Sans CJK SC"/>
        <family val="2"/>
      </rPr>
      <t>도로</t>
    </r>
    <r>
      <rPr>
        <sz val="9"/>
        <color theme="1"/>
        <rFont val="맑은 고딕"/>
        <family val="3"/>
        <charset val="129"/>
      </rPr>
      <t xml:space="preserve">
(</t>
    </r>
    <r>
      <rPr>
        <sz val="9"/>
        <color theme="1"/>
        <rFont val="Noto Sans CJK SC"/>
        <family val="2"/>
      </rPr>
      <t>강남대로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</si>
  <si>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Noto Sans CJK SC"/>
        <family val="2"/>
      </rPr>
      <t>보도침하</t>
    </r>
    <r>
      <rPr>
        <sz val="9"/>
        <color theme="1"/>
        <rFont val="맑은 고딕"/>
        <family val="3"/>
        <charset val="129"/>
      </rPr>
      <t>(5cm)</t>
    </r>
  </si>
  <si>
    <r>
      <rPr>
        <sz val="9"/>
        <color theme="1"/>
        <rFont val="Noto Sans CJK SC"/>
        <family val="2"/>
      </rPr>
      <t>현장</t>
    </r>
    <r>
      <rPr>
        <sz val="9"/>
        <color theme="1"/>
        <rFont val="맑은 고딕"/>
        <family val="3"/>
        <charset val="129"/>
      </rPr>
      <t>(</t>
    </r>
    <r>
      <rPr>
        <sz val="9"/>
        <color theme="1"/>
        <rFont val="Noto Sans CJK SC"/>
        <family val="2"/>
      </rPr>
      <t>잠원동</t>
    </r>
    <r>
      <rPr>
        <sz val="9"/>
        <color theme="1"/>
        <rFont val="맑은 고딕"/>
        <family val="3"/>
        <charset val="129"/>
      </rPr>
      <t xml:space="preserve">28-6) </t>
    </r>
    <r>
      <rPr>
        <sz val="9"/>
        <color theme="1"/>
        <rFont val="Noto Sans CJK SC"/>
        <family val="2"/>
      </rPr>
      <t>앞</t>
    </r>
    <r>
      <rPr>
        <sz val="9"/>
        <color theme="1"/>
        <rFont val="맑은 고딕"/>
        <family val="3"/>
        <charset val="129"/>
      </rPr>
      <t xml:space="preserve">
</t>
    </r>
    <r>
      <rPr>
        <sz val="9"/>
        <color theme="1"/>
        <rFont val="Noto Sans CJK SC"/>
        <family val="2"/>
      </rPr>
      <t>보도</t>
    </r>
    <r>
      <rPr>
        <sz val="9"/>
        <color theme="1"/>
        <rFont val="맑은 고딕"/>
        <family val="3"/>
        <charset val="129"/>
      </rPr>
      <t xml:space="preserve">
(</t>
    </r>
    <r>
      <rPr>
        <sz val="9"/>
        <color theme="1"/>
        <rFont val="Noto Sans CJK SC"/>
        <family val="2"/>
      </rPr>
      <t>강남대로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</si>
  <si>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맑은 고딕"/>
        <family val="3"/>
        <charset val="129"/>
      </rPr>
      <t>KDB</t>
    </r>
    <r>
      <rPr>
        <sz val="9"/>
        <color theme="1"/>
        <rFont val="Noto Sans CJK SC"/>
        <family val="2"/>
      </rPr>
      <t>산업은행 앞</t>
    </r>
    <r>
      <rPr>
        <sz val="9"/>
        <color theme="1"/>
        <rFont val="맑은 고딕"/>
        <family val="3"/>
        <charset val="129"/>
      </rPr>
      <t xml:space="preserve">
</t>
    </r>
    <r>
      <rPr>
        <sz val="9"/>
        <color theme="1"/>
        <rFont val="Noto Sans CJK SC"/>
        <family val="2"/>
      </rPr>
      <t>도로</t>
    </r>
    <r>
      <rPr>
        <sz val="9"/>
        <color theme="1"/>
        <rFont val="맑은 고딕"/>
        <family val="3"/>
        <charset val="129"/>
      </rPr>
      <t xml:space="preserve">
(</t>
    </r>
    <r>
      <rPr>
        <sz val="9"/>
        <color theme="1"/>
        <rFont val="Noto Sans CJK SC"/>
        <family val="2"/>
      </rPr>
      <t>강남대로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</si>
  <si>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맑은 고딕"/>
        <family val="3"/>
        <charset val="129"/>
      </rPr>
      <t>ok</t>
    </r>
    <r>
      <rPr>
        <sz val="9"/>
        <color theme="1"/>
        <rFont val="Noto Sans CJK SC"/>
        <family val="2"/>
      </rPr>
      <t>광생약국 앞</t>
    </r>
    <r>
      <rPr>
        <sz val="9"/>
        <color theme="1"/>
        <rFont val="맑은 고딕"/>
        <family val="3"/>
        <charset val="129"/>
      </rPr>
      <t xml:space="preserve">
</t>
    </r>
    <r>
      <rPr>
        <sz val="9"/>
        <color theme="1"/>
        <rFont val="Noto Sans CJK SC"/>
        <family val="2"/>
      </rPr>
      <t>도로</t>
    </r>
    <r>
      <rPr>
        <sz val="9"/>
        <color theme="1"/>
        <rFont val="맑은 고딕"/>
        <family val="3"/>
        <charset val="129"/>
      </rPr>
      <t xml:space="preserve">
(</t>
    </r>
    <r>
      <rPr>
        <sz val="9"/>
        <color theme="1"/>
        <rFont val="Noto Sans CJK SC"/>
        <family val="2"/>
      </rPr>
      <t>강남대로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</si>
  <si>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Noto Sans CJK SC"/>
        <family val="2"/>
      </rPr>
      <t>논현역 교차로</t>
    </r>
    <r>
      <rPr>
        <sz val="9"/>
        <color theme="1"/>
        <rFont val="맑은 고딕"/>
        <family val="3"/>
        <charset val="129"/>
      </rPr>
      <t xml:space="preserve">
(</t>
    </r>
    <r>
      <rPr>
        <sz val="9"/>
        <color theme="1"/>
        <rFont val="Noto Sans CJK SC"/>
        <family val="2"/>
      </rPr>
      <t>강남대로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</si>
  <si>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Noto Sans CJK SC"/>
        <family val="2"/>
      </rPr>
      <t xml:space="preserve">논현역 </t>
    </r>
    <r>
      <rPr>
        <sz val="9"/>
        <color theme="1"/>
        <rFont val="맑은 고딕"/>
        <family val="3"/>
        <charset val="129"/>
      </rPr>
      <t>#5</t>
    </r>
    <r>
      <rPr>
        <sz val="9"/>
        <color theme="1"/>
        <rFont val="Noto Sans CJK SC"/>
        <family val="2"/>
      </rPr>
      <t>번출 앞</t>
    </r>
    <r>
      <rPr>
        <sz val="9"/>
        <color theme="1"/>
        <rFont val="맑은 고딕"/>
        <family val="3"/>
        <charset val="129"/>
      </rPr>
      <t xml:space="preserve">
</t>
    </r>
    <r>
      <rPr>
        <sz val="9"/>
        <color theme="1"/>
        <rFont val="Noto Sans CJK SC"/>
        <family val="2"/>
      </rPr>
      <t>도로</t>
    </r>
    <r>
      <rPr>
        <sz val="9"/>
        <color theme="1"/>
        <rFont val="맑은 고딕"/>
        <family val="3"/>
        <charset val="129"/>
      </rPr>
      <t xml:space="preserve">
(</t>
    </r>
    <r>
      <rPr>
        <sz val="9"/>
        <color theme="1"/>
        <rFont val="Noto Sans CJK SC"/>
        <family val="2"/>
      </rPr>
      <t>강남대로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</si>
  <si>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Noto Sans CJK SC"/>
        <family val="2"/>
      </rPr>
      <t xml:space="preserve">논현역 </t>
    </r>
    <r>
      <rPr>
        <sz val="9"/>
        <color theme="1"/>
        <rFont val="맑은 고딕"/>
        <family val="3"/>
        <charset val="129"/>
      </rPr>
      <t>E/V_2</t>
    </r>
    <r>
      <rPr>
        <sz val="9"/>
        <color theme="1"/>
        <rFont val="Noto Sans CJK SC"/>
        <family val="2"/>
      </rPr>
      <t>호기 앞</t>
    </r>
    <r>
      <rPr>
        <sz val="9"/>
        <color theme="1"/>
        <rFont val="맑은 고딕"/>
        <family val="3"/>
        <charset val="129"/>
      </rPr>
      <t xml:space="preserve">
</t>
    </r>
    <r>
      <rPr>
        <sz val="9"/>
        <color theme="1"/>
        <rFont val="Noto Sans CJK SC"/>
        <family val="2"/>
      </rPr>
      <t>도로</t>
    </r>
    <r>
      <rPr>
        <sz val="9"/>
        <color theme="1"/>
        <rFont val="맑은 고딕"/>
        <family val="3"/>
        <charset val="129"/>
      </rPr>
      <t xml:space="preserve">
(</t>
    </r>
    <r>
      <rPr>
        <sz val="9"/>
        <color theme="1"/>
        <rFont val="Noto Sans CJK SC"/>
        <family val="2"/>
      </rPr>
      <t>강남대로</t>
    </r>
    <r>
      <rPr>
        <sz val="9"/>
        <color theme="1"/>
        <rFont val="맑은 고딕"/>
        <family val="3"/>
        <charset val="129"/>
      </rPr>
      <t>)</t>
    </r>
  </si>
  <si>
    <t>종균열</t>
  </si>
  <si>
    <r>
      <rPr>
        <sz val="9"/>
        <color theme="1"/>
        <rFont val="Noto Sans CJK SC"/>
        <family val="2"/>
      </rPr>
      <t xml:space="preserve">논현역 </t>
    </r>
    <r>
      <rPr>
        <sz val="9"/>
        <color theme="1"/>
        <rFont val="맑은 고딕"/>
        <family val="3"/>
        <charset val="129"/>
      </rPr>
      <t>#4</t>
    </r>
    <r>
      <rPr>
        <sz val="9"/>
        <color theme="1"/>
        <rFont val="Noto Sans CJK SC"/>
        <family val="2"/>
      </rPr>
      <t>번출구 앞</t>
    </r>
    <r>
      <rPr>
        <sz val="9"/>
        <color theme="1"/>
        <rFont val="맑은 고딕"/>
        <family val="3"/>
        <charset val="129"/>
      </rPr>
      <t xml:space="preserve">
</t>
    </r>
    <r>
      <rPr>
        <sz val="9"/>
        <color theme="1"/>
        <rFont val="Noto Sans CJK SC"/>
        <family val="2"/>
      </rPr>
      <t>도로</t>
    </r>
    <r>
      <rPr>
        <sz val="9"/>
        <color theme="1"/>
        <rFont val="맑은 고딕"/>
        <family val="3"/>
        <charset val="129"/>
      </rPr>
      <t xml:space="preserve">
(</t>
    </r>
    <r>
      <rPr>
        <sz val="9"/>
        <color theme="1"/>
        <rFont val="Noto Sans CJK SC"/>
        <family val="2"/>
      </rPr>
      <t>강남대로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</si>
  <si>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Noto Sans CJK SC"/>
        <family val="2"/>
      </rPr>
      <t>참치 앤 쿡 앞</t>
    </r>
    <r>
      <rPr>
        <sz val="9"/>
        <color theme="1"/>
        <rFont val="맑은 고딕"/>
        <family val="3"/>
        <charset val="129"/>
      </rPr>
      <t xml:space="preserve">
</t>
    </r>
    <r>
      <rPr>
        <sz val="9"/>
        <color theme="1"/>
        <rFont val="Noto Sans CJK SC"/>
        <family val="2"/>
      </rPr>
      <t>도로</t>
    </r>
    <r>
      <rPr>
        <sz val="9"/>
        <color theme="1"/>
        <rFont val="맑은 고딕"/>
        <family val="3"/>
        <charset val="129"/>
      </rPr>
      <t xml:space="preserve">
(</t>
    </r>
    <r>
      <rPr>
        <sz val="9"/>
        <color theme="1"/>
        <rFont val="Noto Sans CJK SC"/>
        <family val="2"/>
      </rPr>
      <t>강남대로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</si>
  <si>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Noto Sans CJK SC"/>
        <family val="2"/>
      </rPr>
      <t>뮬리성형외과 앞</t>
    </r>
    <r>
      <rPr>
        <sz val="9"/>
        <color theme="1"/>
        <rFont val="맑은 고딕"/>
        <family val="3"/>
        <charset val="129"/>
      </rPr>
      <t xml:space="preserve">
</t>
    </r>
    <r>
      <rPr>
        <sz val="9"/>
        <color theme="1"/>
        <rFont val="Noto Sans CJK SC"/>
        <family val="2"/>
      </rPr>
      <t>도로</t>
    </r>
    <r>
      <rPr>
        <sz val="9"/>
        <color theme="1"/>
        <rFont val="맑은 고딕"/>
        <family val="3"/>
        <charset val="129"/>
      </rPr>
      <t xml:space="preserve">
(</t>
    </r>
    <r>
      <rPr>
        <sz val="9"/>
        <color theme="1"/>
        <rFont val="Noto Sans CJK SC"/>
        <family val="2"/>
      </rPr>
      <t>강남대로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</si>
  <si>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Noto Sans CJK SC"/>
        <family val="2"/>
      </rPr>
      <t>강남성모원 안과의원 앞</t>
    </r>
    <r>
      <rPr>
        <sz val="9"/>
        <color theme="1"/>
        <rFont val="맑은 고딕"/>
        <family val="3"/>
        <charset val="129"/>
      </rPr>
      <t xml:space="preserve">
</t>
    </r>
    <r>
      <rPr>
        <sz val="9"/>
        <color theme="1"/>
        <rFont val="Noto Sans CJK SC"/>
        <family val="2"/>
      </rPr>
      <t>보도</t>
    </r>
    <r>
      <rPr>
        <sz val="9"/>
        <color theme="1"/>
        <rFont val="맑은 고딕"/>
        <family val="3"/>
        <charset val="129"/>
      </rPr>
      <t xml:space="preserve">
(</t>
    </r>
    <r>
      <rPr>
        <sz val="9"/>
        <color theme="1"/>
        <rFont val="Noto Sans CJK SC"/>
        <family val="2"/>
      </rPr>
      <t>강남대로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</si>
  <si>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Noto Sans CJK SC"/>
        <family val="2"/>
      </rPr>
      <t>커피빈 앞</t>
    </r>
    <r>
      <rPr>
        <sz val="9"/>
        <color theme="1"/>
        <rFont val="맑은 고딕"/>
        <family val="3"/>
        <charset val="129"/>
      </rPr>
      <t xml:space="preserve">
</t>
    </r>
    <r>
      <rPr>
        <sz val="9"/>
        <color theme="1"/>
        <rFont val="Noto Sans CJK SC"/>
        <family val="2"/>
      </rPr>
      <t>도로</t>
    </r>
    <r>
      <rPr>
        <sz val="9"/>
        <color theme="1"/>
        <rFont val="맑은 고딕"/>
        <family val="3"/>
        <charset val="129"/>
      </rPr>
      <t xml:space="preserve">
(</t>
    </r>
    <r>
      <rPr>
        <sz val="9"/>
        <color theme="1"/>
        <rFont val="Noto Sans CJK SC"/>
        <family val="2"/>
      </rPr>
      <t>강남대로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</si>
  <si>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Noto Sans CJK SC"/>
        <family val="2"/>
      </rPr>
      <t>스타벅스 앞</t>
    </r>
    <r>
      <rPr>
        <sz val="9"/>
        <color theme="1"/>
        <rFont val="맑은 고딕"/>
        <family val="3"/>
        <charset val="129"/>
      </rPr>
      <t xml:space="preserve">
</t>
    </r>
    <r>
      <rPr>
        <sz val="9"/>
        <color theme="1"/>
        <rFont val="Noto Sans CJK SC"/>
        <family val="2"/>
      </rPr>
      <t>도로</t>
    </r>
    <r>
      <rPr>
        <sz val="9"/>
        <color theme="1"/>
        <rFont val="맑은 고딕"/>
        <family val="3"/>
        <charset val="129"/>
      </rPr>
      <t xml:space="preserve">
(</t>
    </r>
    <r>
      <rPr>
        <sz val="9"/>
        <color theme="1"/>
        <rFont val="Noto Sans CJK SC"/>
        <family val="2"/>
      </rPr>
      <t>강남대로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</si>
  <si>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Noto Sans CJK SC"/>
        <family val="2"/>
      </rPr>
      <t>신논현역 교차로</t>
    </r>
    <r>
      <rPr>
        <sz val="9"/>
        <color theme="1"/>
        <rFont val="맑은 고딕"/>
        <family val="3"/>
        <charset val="129"/>
      </rPr>
      <t xml:space="preserve">
=</t>
    </r>
    <r>
      <rPr>
        <sz val="9"/>
        <color theme="1"/>
        <rFont val="Noto Sans CJK SC"/>
        <family val="2"/>
      </rPr>
      <t>교보타워 교차로</t>
    </r>
    <r>
      <rPr>
        <sz val="9"/>
        <color theme="1"/>
        <rFont val="맑은 고딕"/>
        <family val="3"/>
        <charset val="129"/>
      </rPr>
      <t xml:space="preserve">
(</t>
    </r>
    <r>
      <rPr>
        <sz val="9"/>
        <color theme="1"/>
        <rFont val="Noto Sans CJK SC"/>
        <family val="2"/>
      </rPr>
      <t>강남대로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</si>
  <si>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Noto Sans CJK SC"/>
        <family val="2"/>
      </rPr>
      <t>교보타워 주차장 앞</t>
    </r>
    <r>
      <rPr>
        <sz val="9"/>
        <color theme="1"/>
        <rFont val="맑은 고딕"/>
        <family val="3"/>
        <charset val="129"/>
      </rPr>
      <t xml:space="preserve">
</t>
    </r>
    <r>
      <rPr>
        <sz val="9"/>
        <color theme="1"/>
        <rFont val="Noto Sans CJK SC"/>
        <family val="2"/>
      </rPr>
      <t>도로</t>
    </r>
    <r>
      <rPr>
        <sz val="9"/>
        <color theme="1"/>
        <rFont val="맑은 고딕"/>
        <family val="3"/>
        <charset val="129"/>
      </rPr>
      <t xml:space="preserve">
(</t>
    </r>
    <r>
      <rPr>
        <sz val="9"/>
        <color theme="1"/>
        <rFont val="Noto Sans CJK SC"/>
        <family val="2"/>
      </rPr>
      <t>강남대로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</si>
  <si>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Noto Sans CJK SC"/>
        <family val="2"/>
      </rPr>
      <t>던킹도너츠 앞</t>
    </r>
    <r>
      <rPr>
        <sz val="9"/>
        <color theme="1"/>
        <rFont val="맑은 고딕"/>
        <family val="3"/>
        <charset val="129"/>
      </rPr>
      <t xml:space="preserve">
</t>
    </r>
    <r>
      <rPr>
        <sz val="9"/>
        <color theme="1"/>
        <rFont val="Noto Sans CJK SC"/>
        <family val="2"/>
      </rPr>
      <t>도로</t>
    </r>
    <r>
      <rPr>
        <sz val="9"/>
        <color theme="1"/>
        <rFont val="맑은 고딕"/>
        <family val="3"/>
        <charset val="129"/>
      </rPr>
      <t xml:space="preserve">
(</t>
    </r>
    <r>
      <rPr>
        <sz val="9"/>
        <color theme="1"/>
        <rFont val="Noto Sans CJK SC"/>
        <family val="2"/>
      </rPr>
      <t>강남대로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</si>
  <si>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Noto Sans CJK SC"/>
        <family val="2"/>
      </rPr>
      <t>수세연 안과의원</t>
    </r>
    <r>
      <rPr>
        <sz val="9"/>
        <color theme="1"/>
        <rFont val="맑은 고딕"/>
        <family val="3"/>
        <charset val="129"/>
      </rPr>
      <t xml:space="preserve">
</t>
    </r>
    <r>
      <rPr>
        <sz val="9"/>
        <color theme="1"/>
        <rFont val="Noto Sans CJK SC"/>
        <family val="2"/>
      </rPr>
      <t>도로</t>
    </r>
    <r>
      <rPr>
        <sz val="9"/>
        <color theme="1"/>
        <rFont val="맑은 고딕"/>
        <family val="3"/>
        <charset val="129"/>
      </rPr>
      <t xml:space="preserve">
(</t>
    </r>
    <r>
      <rPr>
        <sz val="9"/>
        <color theme="1"/>
        <rFont val="Noto Sans CJK SC"/>
        <family val="2"/>
      </rPr>
      <t>강남대로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</si>
  <si>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Noto Sans CJK SC"/>
        <family val="2"/>
      </rPr>
      <t>자라 앞</t>
    </r>
    <r>
      <rPr>
        <sz val="9"/>
        <color theme="1"/>
        <rFont val="맑은 고딕"/>
        <family val="3"/>
        <charset val="129"/>
      </rPr>
      <t xml:space="preserve">
</t>
    </r>
    <r>
      <rPr>
        <sz val="9"/>
        <color theme="1"/>
        <rFont val="Noto Sans CJK SC"/>
        <family val="2"/>
      </rPr>
      <t>도로</t>
    </r>
    <r>
      <rPr>
        <sz val="9"/>
        <color theme="1"/>
        <rFont val="맑은 고딕"/>
        <family val="3"/>
        <charset val="129"/>
      </rPr>
      <t xml:space="preserve">
(</t>
    </r>
    <r>
      <rPr>
        <sz val="9"/>
        <color theme="1"/>
        <rFont val="Noto Sans CJK SC"/>
        <family val="2"/>
      </rPr>
      <t>강남대로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</si>
  <si>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Noto Sans CJK SC"/>
        <family val="2"/>
      </rPr>
      <t>준오헤어 앞</t>
    </r>
    <r>
      <rPr>
        <sz val="9"/>
        <color theme="1"/>
        <rFont val="맑은 고딕"/>
        <family val="3"/>
        <charset val="129"/>
      </rPr>
      <t xml:space="preserve">
</t>
    </r>
    <r>
      <rPr>
        <sz val="9"/>
        <color theme="1"/>
        <rFont val="Noto Sans CJK SC"/>
        <family val="2"/>
      </rPr>
      <t>보도</t>
    </r>
    <r>
      <rPr>
        <sz val="9"/>
        <color theme="1"/>
        <rFont val="맑은 고딕"/>
        <family val="3"/>
        <charset val="129"/>
      </rPr>
      <t xml:space="preserve">
(</t>
    </r>
    <r>
      <rPr>
        <sz val="9"/>
        <color theme="1"/>
        <rFont val="Noto Sans CJK SC"/>
        <family val="2"/>
      </rPr>
      <t>강남대로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</si>
  <si>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Noto Sans CJK SC"/>
        <family val="2"/>
      </rPr>
      <t>준오헤어 앞</t>
    </r>
    <r>
      <rPr>
        <sz val="9"/>
        <color theme="1"/>
        <rFont val="맑은 고딕"/>
        <family val="3"/>
        <charset val="129"/>
      </rPr>
      <t xml:space="preserve">
</t>
    </r>
    <r>
      <rPr>
        <sz val="9"/>
        <color theme="1"/>
        <rFont val="Noto Sans CJK SC"/>
        <family val="2"/>
      </rPr>
      <t>도로</t>
    </r>
    <r>
      <rPr>
        <sz val="9"/>
        <color theme="1"/>
        <rFont val="맑은 고딕"/>
        <family val="3"/>
        <charset val="129"/>
      </rPr>
      <t xml:space="preserve">
(</t>
    </r>
    <r>
      <rPr>
        <sz val="9"/>
        <color theme="1"/>
        <rFont val="Noto Sans CJK SC"/>
        <family val="2"/>
      </rPr>
      <t>강남대로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</si>
  <si>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Noto Sans CJK SC"/>
        <family val="2"/>
      </rPr>
      <t>라인프렌즈 앞</t>
    </r>
    <r>
      <rPr>
        <sz val="9"/>
        <color theme="1"/>
        <rFont val="맑은 고딕"/>
        <family val="3"/>
        <charset val="129"/>
      </rPr>
      <t xml:space="preserve">
</t>
    </r>
    <r>
      <rPr>
        <sz val="9"/>
        <color theme="1"/>
        <rFont val="Noto Sans CJK SC"/>
        <family val="2"/>
      </rPr>
      <t>도로</t>
    </r>
    <r>
      <rPr>
        <sz val="9"/>
        <color theme="1"/>
        <rFont val="맑은 고딕"/>
        <family val="3"/>
        <charset val="129"/>
      </rPr>
      <t xml:space="preserve">
(</t>
    </r>
    <r>
      <rPr>
        <sz val="9"/>
        <color theme="1"/>
        <rFont val="Noto Sans CJK SC"/>
        <family val="2"/>
      </rPr>
      <t>강남대로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</si>
  <si>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Noto Sans CJK SC"/>
        <family val="2"/>
      </rPr>
      <t>올리브영 앞</t>
    </r>
    <r>
      <rPr>
        <sz val="9"/>
        <color theme="1"/>
        <rFont val="맑은 고딕"/>
        <family val="3"/>
        <charset val="129"/>
      </rPr>
      <t xml:space="preserve">
</t>
    </r>
    <r>
      <rPr>
        <sz val="9"/>
        <color theme="1"/>
        <rFont val="Noto Sans CJK SC"/>
        <family val="2"/>
      </rPr>
      <t>도로</t>
    </r>
    <r>
      <rPr>
        <sz val="9"/>
        <color theme="1"/>
        <rFont val="맑은 고딕"/>
        <family val="3"/>
        <charset val="129"/>
      </rPr>
      <t xml:space="preserve">
(</t>
    </r>
    <r>
      <rPr>
        <sz val="9"/>
        <color theme="1"/>
        <rFont val="Noto Sans CJK SC"/>
        <family val="2"/>
      </rPr>
      <t>강남대로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</si>
  <si>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Noto Sans CJK SC"/>
        <family val="2"/>
      </rPr>
      <t>비엠사오 앞</t>
    </r>
    <r>
      <rPr>
        <sz val="9"/>
        <color theme="1"/>
        <rFont val="맑은 고딕"/>
        <family val="3"/>
        <charset val="129"/>
      </rPr>
      <t xml:space="preserve">
</t>
    </r>
    <r>
      <rPr>
        <sz val="9"/>
        <color theme="1"/>
        <rFont val="Noto Sans CJK SC"/>
        <family val="2"/>
      </rPr>
      <t>도로</t>
    </r>
    <r>
      <rPr>
        <sz val="9"/>
        <color theme="1"/>
        <rFont val="맑은 고딕"/>
        <family val="3"/>
        <charset val="129"/>
      </rPr>
      <t xml:space="preserve">
(</t>
    </r>
    <r>
      <rPr>
        <sz val="9"/>
        <color theme="1"/>
        <rFont val="Noto Sans CJK SC"/>
        <family val="2"/>
      </rPr>
      <t>강남대로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</si>
  <si>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맑은 고딕"/>
        <family val="3"/>
        <charset val="129"/>
      </rPr>
      <t>ABC</t>
    </r>
    <r>
      <rPr>
        <sz val="9"/>
        <color theme="1"/>
        <rFont val="Noto Sans CJK SC"/>
        <family val="2"/>
      </rPr>
      <t>마트 앞</t>
    </r>
    <r>
      <rPr>
        <sz val="9"/>
        <color theme="1"/>
        <rFont val="맑은 고딕"/>
        <family val="3"/>
        <charset val="129"/>
      </rPr>
      <t xml:space="preserve">
</t>
    </r>
    <r>
      <rPr>
        <sz val="9"/>
        <color theme="1"/>
        <rFont val="Noto Sans CJK SC"/>
        <family val="2"/>
      </rPr>
      <t>도로</t>
    </r>
    <r>
      <rPr>
        <sz val="9"/>
        <color theme="1"/>
        <rFont val="맑은 고딕"/>
        <family val="3"/>
        <charset val="129"/>
      </rPr>
      <t xml:space="preserve">
(</t>
    </r>
    <r>
      <rPr>
        <sz val="9"/>
        <color theme="1"/>
        <rFont val="Noto Sans CJK SC"/>
        <family val="2"/>
      </rPr>
      <t>강남대로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</si>
  <si>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Noto Sans CJK SC"/>
        <family val="2"/>
      </rPr>
      <t>강남 성모안과 앞</t>
    </r>
    <r>
      <rPr>
        <sz val="9"/>
        <color theme="1"/>
        <rFont val="맑은 고딕"/>
        <family val="3"/>
        <charset val="129"/>
      </rPr>
      <t xml:space="preserve">
</t>
    </r>
    <r>
      <rPr>
        <sz val="9"/>
        <color theme="1"/>
        <rFont val="Noto Sans CJK SC"/>
        <family val="2"/>
      </rPr>
      <t>도로</t>
    </r>
    <r>
      <rPr>
        <sz val="9"/>
        <color theme="1"/>
        <rFont val="맑은 고딕"/>
        <family val="3"/>
        <charset val="129"/>
      </rPr>
      <t xml:space="preserve">
(</t>
    </r>
    <r>
      <rPr>
        <sz val="9"/>
        <color theme="1"/>
        <rFont val="Noto Sans CJK SC"/>
        <family val="2"/>
      </rPr>
      <t>강남대로</t>
    </r>
    <r>
      <rPr>
        <sz val="9"/>
        <color theme="1"/>
        <rFont val="맑은 고딕"/>
        <family val="3"/>
        <charset val="129"/>
      </rPr>
      <t>)</t>
    </r>
  </si>
  <si>
    <t>보통</t>
  </si>
  <si>
    <r>
      <rPr>
        <sz val="9"/>
        <color theme="1"/>
        <rFont val="맑은 고딕"/>
        <family val="3"/>
        <charset val="129"/>
      </rPr>
      <t>5cm</t>
    </r>
    <r>
      <rPr>
        <sz val="9"/>
        <color theme="1"/>
        <rFont val="Noto Sans CJK SC"/>
        <family val="2"/>
      </rPr>
      <t>이상 침하</t>
    </r>
  </si>
  <si>
    <r>
      <rPr>
        <sz val="9"/>
        <color theme="1"/>
        <rFont val="Noto Sans CJK SC"/>
        <family val="2"/>
      </rPr>
      <t>강남 성모안과 앞</t>
    </r>
    <r>
      <rPr>
        <sz val="9"/>
        <color theme="1"/>
        <rFont val="맑은 고딕"/>
        <family val="3"/>
        <charset val="129"/>
      </rPr>
      <t xml:space="preserve">
</t>
    </r>
    <r>
      <rPr>
        <sz val="9"/>
        <color theme="1"/>
        <rFont val="Noto Sans CJK SC"/>
        <family val="2"/>
      </rPr>
      <t>횡단보도</t>
    </r>
    <r>
      <rPr>
        <sz val="9"/>
        <color theme="1"/>
        <rFont val="맑은 고딕"/>
        <family val="3"/>
        <charset val="129"/>
      </rPr>
      <t xml:space="preserve">
(</t>
    </r>
    <r>
      <rPr>
        <sz val="9"/>
        <color theme="1"/>
        <rFont val="Noto Sans CJK SC"/>
        <family val="2"/>
      </rPr>
      <t>강남대로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</si>
  <si>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Noto Sans CJK SC"/>
        <family val="2"/>
      </rPr>
      <t>삼성스토어 앞</t>
    </r>
    <r>
      <rPr>
        <sz val="9"/>
        <color theme="1"/>
        <rFont val="맑은 고딕"/>
        <family val="3"/>
        <charset val="129"/>
      </rPr>
      <t xml:space="preserve">
</t>
    </r>
    <r>
      <rPr>
        <sz val="9"/>
        <color theme="1"/>
        <rFont val="Noto Sans CJK SC"/>
        <family val="2"/>
      </rPr>
      <t>도로</t>
    </r>
    <r>
      <rPr>
        <sz val="9"/>
        <color theme="1"/>
        <rFont val="맑은 고딕"/>
        <family val="3"/>
        <charset val="129"/>
      </rPr>
      <t xml:space="preserve">
(</t>
    </r>
    <r>
      <rPr>
        <sz val="9"/>
        <color theme="1"/>
        <rFont val="Noto Sans CJK SC"/>
        <family val="2"/>
      </rPr>
      <t>강남대로</t>
    </r>
    <r>
      <rPr>
        <sz val="9"/>
        <color theme="1"/>
        <rFont val="맑은 고딕"/>
        <family val="3"/>
        <charset val="129"/>
      </rPr>
      <t>)</t>
    </r>
  </si>
  <si>
    <r>
      <rPr>
        <b/>
        <sz val="11"/>
        <color theme="1"/>
        <rFont val="HY헤드라인M"/>
        <family val="1"/>
        <charset val="129"/>
      </rPr>
      <t>○ 2025</t>
    </r>
    <r>
      <rPr>
        <b/>
        <sz val="11"/>
        <color theme="1"/>
        <rFont val="Noto Sans CJK SC"/>
        <family val="2"/>
      </rPr>
      <t>년 등급별 손상구간 상세위치</t>
    </r>
  </si>
  <si>
    <t>○ 육안조사 결과표</t>
  </si>
  <si>
    <t>광역시도명</t>
  </si>
  <si>
    <t>서군구명</t>
  </si>
  <si>
    <t>대상시설명</t>
  </si>
  <si>
    <t>조사기간</t>
  </si>
  <si>
    <t>시설물관리자</t>
  </si>
  <si>
    <t>조사자</t>
  </si>
  <si>
    <t>서울시</t>
  </si>
  <si>
    <t>신분당선</t>
  </si>
  <si>
    <t>2025.03.17.~05.31</t>
  </si>
  <si>
    <t>기술참여자 명단 참조</t>
  </si>
  <si>
    <t>조사결과</t>
  </si>
  <si>
    <t>평가항목별 점수</t>
  </si>
  <si>
    <r>
      <rPr>
        <sz val="9"/>
        <color theme="1"/>
        <rFont val="Noto Sans CJK SC"/>
        <family val="2"/>
      </rPr>
      <t>침하</t>
    </r>
    <r>
      <rPr>
        <sz val="9"/>
        <color theme="1"/>
        <rFont val="HY헤드라인M"/>
        <family val="1"/>
        <charset val="129"/>
      </rPr>
      <t>(mm)</t>
    </r>
  </si>
  <si>
    <r>
      <rPr>
        <sz val="9"/>
        <color theme="1"/>
        <rFont val="Noto Sans CJK SC"/>
        <family val="2"/>
      </rPr>
      <t>노후도</t>
    </r>
    <r>
      <rPr>
        <sz val="9"/>
        <color theme="1"/>
        <rFont val="HY헤드라인M"/>
        <family val="1"/>
        <charset val="129"/>
      </rPr>
      <t>(</t>
    </r>
    <r>
      <rPr>
        <sz val="9"/>
        <color theme="1"/>
        <rFont val="Noto Sans CJK SC"/>
        <family val="2"/>
      </rPr>
      <t>년</t>
    </r>
    <r>
      <rPr>
        <sz val="9"/>
        <color theme="1"/>
        <rFont val="HY헤드라인M"/>
        <family val="1"/>
        <charset val="129"/>
      </rPr>
      <t>)</t>
    </r>
  </si>
  <si>
    <r>
      <rPr>
        <sz val="9"/>
        <color theme="1"/>
        <rFont val="Noto Sans CJK SC"/>
        <family val="2"/>
      </rPr>
      <t>지반침하 발생 등의 이력</t>
    </r>
    <r>
      <rPr>
        <sz val="9"/>
        <color theme="1"/>
        <rFont val="HY헤드라인M"/>
        <family val="1"/>
        <charset val="129"/>
      </rPr>
      <t>1) (1</t>
    </r>
    <r>
      <rPr>
        <sz val="9"/>
        <color theme="1"/>
        <rFont val="Noto Sans CJK SC"/>
        <family val="2"/>
      </rPr>
      <t>년 이내</t>
    </r>
    <r>
      <rPr>
        <sz val="9"/>
        <color theme="1"/>
        <rFont val="HY헤드라인M"/>
        <family val="1"/>
        <charset val="129"/>
      </rPr>
      <t>)</t>
    </r>
  </si>
  <si>
    <t>불량</t>
  </si>
  <si>
    <t>총 점수</t>
  </si>
  <si>
    <t>비고</t>
  </si>
  <si>
    <t>강남구</t>
  </si>
  <si>
    <t>3~5</t>
  </si>
  <si>
    <t>일반</t>
  </si>
  <si>
    <t>경기철도</t>
  </si>
  <si>
    <t>6~8</t>
  </si>
  <si>
    <t>우선</t>
  </si>
  <si>
    <t>육안조사서 작성</t>
  </si>
  <si>
    <t>새서울철도</t>
  </si>
  <si>
    <t>성남시</t>
  </si>
  <si>
    <t>1~3</t>
  </si>
  <si>
    <r>
      <rPr>
        <sz val="9"/>
        <color theme="1"/>
        <rFont val="맑은 고딕"/>
        <family val="2"/>
        <charset val="129"/>
      </rPr>
      <t xml:space="preserve">9 </t>
    </r>
    <r>
      <rPr>
        <sz val="9"/>
        <color theme="1"/>
        <rFont val="Noto Sans CJK SC"/>
        <family val="2"/>
      </rPr>
      <t>이상</t>
    </r>
  </si>
  <si>
    <t>긴급</t>
  </si>
  <si>
    <t>용인시</t>
  </si>
  <si>
    <t>수원시</t>
  </si>
  <si>
    <t>지반침하 등의 발생이력</t>
  </si>
  <si>
    <t>손상구간번호(평가등급)</t>
    <phoneticPr fontId="10" type="noConversion"/>
  </si>
  <si>
    <t>조사 위치도</t>
    <phoneticPr fontId="10" type="noConversion"/>
  </si>
  <si>
    <t>지번 주소
(도로명 주소)</t>
    <phoneticPr fontId="10" type="noConversion"/>
  </si>
  <si>
    <t>잠원동 12-17</t>
    <phoneticPr fontId="9" type="noConversion"/>
  </si>
  <si>
    <t>신사역교차로</t>
    <phoneticPr fontId="9" type="noConversion"/>
  </si>
  <si>
    <t>잠원동 20-5</t>
    <phoneticPr fontId="9" type="noConversion"/>
  </si>
  <si>
    <t>잠원동 21-2</t>
    <phoneticPr fontId="9" type="noConversion"/>
  </si>
  <si>
    <t>잠원동 21-3</t>
    <phoneticPr fontId="9" type="noConversion"/>
  </si>
  <si>
    <t>잠원동 21-7</t>
    <phoneticPr fontId="9" type="noConversion"/>
  </si>
  <si>
    <t>잠원동 27-2</t>
    <phoneticPr fontId="9" type="noConversion"/>
  </si>
  <si>
    <t>잠원동 27-8</t>
    <phoneticPr fontId="9" type="noConversion"/>
  </si>
  <si>
    <t>잠원동 28-1</t>
    <phoneticPr fontId="9" type="noConversion"/>
  </si>
  <si>
    <t>잠원동 28-10</t>
    <phoneticPr fontId="9" type="noConversion"/>
  </si>
  <si>
    <t>잠원동 28-6</t>
    <phoneticPr fontId="9" type="noConversion"/>
  </si>
  <si>
    <t>잠원동 36-14</t>
    <phoneticPr fontId="9" type="noConversion"/>
  </si>
  <si>
    <t>잠원동 37-1</t>
    <phoneticPr fontId="9" type="noConversion"/>
  </si>
  <si>
    <t>논현역교차로</t>
    <phoneticPr fontId="9" type="noConversion"/>
  </si>
  <si>
    <t>반포동 707-11</t>
    <phoneticPr fontId="9" type="noConversion"/>
  </si>
  <si>
    <t>반포동 706-10</t>
    <phoneticPr fontId="9" type="noConversion"/>
  </si>
  <si>
    <t>반포동 707-5</t>
    <phoneticPr fontId="9" type="noConversion"/>
  </si>
  <si>
    <t>반포동 722-20</t>
    <phoneticPr fontId="9" type="noConversion"/>
  </si>
  <si>
    <t>반포동 723-1</t>
    <phoneticPr fontId="9" type="noConversion"/>
  </si>
  <si>
    <t>반포동 736-2</t>
    <phoneticPr fontId="9" type="noConversion"/>
  </si>
  <si>
    <t>반포동 736-17</t>
    <phoneticPr fontId="9" type="noConversion"/>
  </si>
  <si>
    <t>서초동 1303-43</t>
    <phoneticPr fontId="9" type="noConversion"/>
  </si>
  <si>
    <t>서초동 1303-22</t>
    <phoneticPr fontId="9" type="noConversion"/>
  </si>
  <si>
    <t>서초동 1303-35</t>
    <phoneticPr fontId="9" type="noConversion"/>
  </si>
  <si>
    <t>서초동 1304-2</t>
    <phoneticPr fontId="9" type="noConversion"/>
  </si>
  <si>
    <t>서초동 1304-3</t>
    <phoneticPr fontId="9" type="noConversion"/>
  </si>
  <si>
    <t>서초동 1305</t>
    <phoneticPr fontId="9" type="noConversion"/>
  </si>
  <si>
    <t>서초동 1305-2</t>
    <phoneticPr fontId="9" type="noConversion"/>
  </si>
  <si>
    <t>서초동 1305-7</t>
    <phoneticPr fontId="9" type="noConversion"/>
  </si>
  <si>
    <t>서초동 1306</t>
    <phoneticPr fontId="9" type="noConversion"/>
  </si>
  <si>
    <t>서초동 1306-2</t>
    <phoneticPr fontId="9" type="noConversion"/>
  </si>
  <si>
    <t>서초동 1306-8</t>
    <phoneticPr fontId="9" type="noConversion"/>
  </si>
  <si>
    <t>서초동 1318</t>
    <phoneticPr fontId="9" type="noConversion"/>
  </si>
  <si>
    <t>서초동 1318-2</t>
    <phoneticPr fontId="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</si>
</sst>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color theme="1"/>
      <name val="맑은 고딕"/>
      <family val="2"/>
      <charset val="129"/>
    </font>
    <font>
      <sz val="9"/>
      <color theme="1"/>
      <name val="맑은 고딕"/>
      <family val="3"/>
      <charset val="129"/>
    </font>
    <font>
      <sz val="9"/>
      <color theme="1"/>
      <name val="Noto Sans CJK SC"/>
      <family val="2"/>
    </font>
    <font>
      <b/>
      <sz val="11"/>
      <color theme="1"/>
      <name val="HY헤드라인M"/>
      <family val="1"/>
      <charset val="129"/>
    </font>
    <font>
      <b/>
      <sz val="11"/>
      <color theme="1"/>
      <name val="Noto Sans CJK SC"/>
      <family val="2"/>
    </font>
    <font>
      <sz val="9"/>
      <color theme="1"/>
      <name val="HY헤드라인M"/>
      <family val="1"/>
      <charset val="129"/>
    </font>
    <font>
      <sz val="11"/>
      <color theme="1"/>
      <name val="Noto Sans CJK SC"/>
      <family val="2"/>
    </font>
    <font>
      <sz val="11"/>
      <color theme="1"/>
      <name val="HY헤드라인M"/>
      <family val="1"/>
      <charset val="129"/>
    </font>
    <font>
      <sz val="9"/>
      <color theme="1"/>
      <name val="맑은 고딕"/>
      <family val="2"/>
      <charset val="129"/>
    </font>
    <font>
      <sz val="8"/>
      <name val="맑은 고딕"/>
      <family val="2"/>
      <charset val="129"/>
    </font>
    <font>
      <sz val="8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theme="0" tint="-0.14996795556505021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>
      <alignment vertical="center"/>
    </xf>
  </cellStyleXfs>
  <cellXfs count="34">
    <xf numFmtId="0" fontId="0" fillId="0" borderId="0" xfId="0">
      <alignment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vertical="center"/>
    </xf>
    <xf numFmtId="0" fontId="1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center" vertical="center"/>
    </xf>
    <xf numFmtId="0" fontId="0" fillId="0" borderId="0" xfId="0" applyAlignment="1"/>
    <xf numFmtId="0" fontId="0" fillId="0" borderId="0" xfId="0" applyAlignment="1">
      <alignment horizontal="center" vertical="center"/>
    </xf>
    <xf numFmtId="0" fontId="3" fillId="0" borderId="0" xfId="0" applyFont="1" applyAlignment="1">
      <alignment vertical="center"/>
    </xf>
    <xf numFmtId="0" fontId="5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vertical="center"/>
    </xf>
    <xf numFmtId="0" fontId="0" fillId="0" borderId="1" xfId="0" applyBorder="1" applyAlignment="1"/>
    <xf numFmtId="0" fontId="4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2" fillId="0" borderId="1" xfId="0" applyFont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1" fillId="0" borderId="0" xfId="0" applyFont="1" applyAlignment="1">
      <alignment vertical="center" wrapText="1"/>
    </xf>
    <xf numFmtId="0" fontId="5" fillId="0" borderId="0" xfId="0" applyFont="1" applyAlignment="1">
      <alignment vertical="center"/>
    </xf>
    <xf numFmtId="0" fontId="0" fillId="0" borderId="0" xfId="0" applyAlignment="1">
      <alignment vertical="center"/>
    </xf>
    <xf numFmtId="0" fontId="8" fillId="0" borderId="0" xfId="0" applyFont="1" applyAlignment="1">
      <alignment vertical="center"/>
    </xf>
    <xf numFmtId="0" fontId="8" fillId="0" borderId="0" xfId="0" applyFont="1" applyAlignment="1">
      <alignment horizontal="right" vertical="center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1" fillId="0" borderId="2" xfId="0" applyFont="1" applyBorder="1" applyAlignment="1">
      <alignment vertical="center" wrapText="1"/>
    </xf>
    <xf numFmtId="0" fontId="6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gif"/><Relationship Id="rId18" Type="http://schemas.openxmlformats.org/officeDocument/2006/relationships/image" Target="../media/image18.gif"/><Relationship Id="rId26" Type="http://schemas.openxmlformats.org/officeDocument/2006/relationships/image" Target="../media/image26.gif"/><Relationship Id="rId39" Type="http://schemas.openxmlformats.org/officeDocument/2006/relationships/image" Target="../media/image39.gif"/><Relationship Id="rId21" Type="http://schemas.openxmlformats.org/officeDocument/2006/relationships/image" Target="../media/image21.gif"/><Relationship Id="rId34" Type="http://schemas.openxmlformats.org/officeDocument/2006/relationships/image" Target="../media/image34.gif"/><Relationship Id="rId7" Type="http://schemas.openxmlformats.org/officeDocument/2006/relationships/image" Target="../media/image7.gif"/><Relationship Id="rId12" Type="http://schemas.openxmlformats.org/officeDocument/2006/relationships/image" Target="../media/image12.gif"/><Relationship Id="rId17" Type="http://schemas.openxmlformats.org/officeDocument/2006/relationships/image" Target="../media/image17.gif"/><Relationship Id="rId25" Type="http://schemas.openxmlformats.org/officeDocument/2006/relationships/image" Target="../media/image25.gif"/><Relationship Id="rId33" Type="http://schemas.openxmlformats.org/officeDocument/2006/relationships/image" Target="../media/image33.gif"/><Relationship Id="rId38" Type="http://schemas.openxmlformats.org/officeDocument/2006/relationships/image" Target="../media/image38.gif"/><Relationship Id="rId2" Type="http://schemas.openxmlformats.org/officeDocument/2006/relationships/image" Target="../media/image2.gif"/><Relationship Id="rId16" Type="http://schemas.openxmlformats.org/officeDocument/2006/relationships/image" Target="../media/image16.gif"/><Relationship Id="rId20" Type="http://schemas.openxmlformats.org/officeDocument/2006/relationships/image" Target="../media/image20.gif"/><Relationship Id="rId29" Type="http://schemas.openxmlformats.org/officeDocument/2006/relationships/image" Target="../media/image29.gif"/><Relationship Id="rId1" Type="http://schemas.openxmlformats.org/officeDocument/2006/relationships/image" Target="../media/image1.gif"/><Relationship Id="rId6" Type="http://schemas.openxmlformats.org/officeDocument/2006/relationships/image" Target="../media/image6.gif"/><Relationship Id="rId11" Type="http://schemas.openxmlformats.org/officeDocument/2006/relationships/image" Target="../media/image11.gif"/><Relationship Id="rId24" Type="http://schemas.openxmlformats.org/officeDocument/2006/relationships/image" Target="../media/image24.gif"/><Relationship Id="rId32" Type="http://schemas.openxmlformats.org/officeDocument/2006/relationships/image" Target="../media/image32.gif"/><Relationship Id="rId37" Type="http://schemas.openxmlformats.org/officeDocument/2006/relationships/image" Target="../media/image37.gif"/><Relationship Id="rId40" Type="http://schemas.openxmlformats.org/officeDocument/2006/relationships/image" Target="../media/image40.gif"/><Relationship Id="rId5" Type="http://schemas.openxmlformats.org/officeDocument/2006/relationships/image" Target="../media/image5.gif"/><Relationship Id="rId15" Type="http://schemas.openxmlformats.org/officeDocument/2006/relationships/image" Target="../media/image15.gif"/><Relationship Id="rId23" Type="http://schemas.openxmlformats.org/officeDocument/2006/relationships/image" Target="../media/image23.gif"/><Relationship Id="rId28" Type="http://schemas.openxmlformats.org/officeDocument/2006/relationships/image" Target="../media/image28.gif"/><Relationship Id="rId36" Type="http://schemas.openxmlformats.org/officeDocument/2006/relationships/image" Target="../media/image36.gif"/><Relationship Id="rId10" Type="http://schemas.openxmlformats.org/officeDocument/2006/relationships/image" Target="../media/image10.gif"/><Relationship Id="rId19" Type="http://schemas.openxmlformats.org/officeDocument/2006/relationships/image" Target="../media/image19.gif"/><Relationship Id="rId31" Type="http://schemas.openxmlformats.org/officeDocument/2006/relationships/image" Target="../media/image31.gif"/><Relationship Id="rId4" Type="http://schemas.openxmlformats.org/officeDocument/2006/relationships/image" Target="../media/image4.gif"/><Relationship Id="rId9" Type="http://schemas.openxmlformats.org/officeDocument/2006/relationships/image" Target="../media/image9.gif"/><Relationship Id="rId14" Type="http://schemas.openxmlformats.org/officeDocument/2006/relationships/image" Target="../media/image14.gif"/><Relationship Id="rId22" Type="http://schemas.openxmlformats.org/officeDocument/2006/relationships/image" Target="../media/image22.gif"/><Relationship Id="rId27" Type="http://schemas.openxmlformats.org/officeDocument/2006/relationships/image" Target="../media/image27.gif"/><Relationship Id="rId30" Type="http://schemas.openxmlformats.org/officeDocument/2006/relationships/image" Target="../media/image30.gif"/><Relationship Id="rId35" Type="http://schemas.openxmlformats.org/officeDocument/2006/relationships/image" Target="../media/image35.gif"/><Relationship Id="rId8" Type="http://schemas.openxmlformats.org/officeDocument/2006/relationships/image" Target="../media/image8.gif"/><Relationship Id="rId3" Type="http://schemas.openxmlformats.org/officeDocument/2006/relationships/image" Target="../media/image3.gif"/></Relationships>
</file>

<file path=xl/drawings/_rels/drawing2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gif"/><Relationship Id="rId18" Type="http://schemas.openxmlformats.org/officeDocument/2006/relationships/image" Target="../media/image18.gif"/><Relationship Id="rId26" Type="http://schemas.openxmlformats.org/officeDocument/2006/relationships/image" Target="../media/image26.gif"/><Relationship Id="rId39" Type="http://schemas.openxmlformats.org/officeDocument/2006/relationships/image" Target="../media/image39.gif"/><Relationship Id="rId21" Type="http://schemas.openxmlformats.org/officeDocument/2006/relationships/image" Target="../media/image21.gif"/><Relationship Id="rId34" Type="http://schemas.openxmlformats.org/officeDocument/2006/relationships/image" Target="../media/image34.gif"/><Relationship Id="rId7" Type="http://schemas.openxmlformats.org/officeDocument/2006/relationships/image" Target="../media/image7.gif"/><Relationship Id="rId12" Type="http://schemas.openxmlformats.org/officeDocument/2006/relationships/image" Target="../media/image12.gif"/><Relationship Id="rId17" Type="http://schemas.openxmlformats.org/officeDocument/2006/relationships/image" Target="../media/image17.gif"/><Relationship Id="rId25" Type="http://schemas.openxmlformats.org/officeDocument/2006/relationships/image" Target="../media/image25.gif"/><Relationship Id="rId33" Type="http://schemas.openxmlformats.org/officeDocument/2006/relationships/image" Target="../media/image33.gif"/><Relationship Id="rId38" Type="http://schemas.openxmlformats.org/officeDocument/2006/relationships/image" Target="../media/image38.gif"/><Relationship Id="rId2" Type="http://schemas.openxmlformats.org/officeDocument/2006/relationships/image" Target="../media/image2.gif"/><Relationship Id="rId16" Type="http://schemas.openxmlformats.org/officeDocument/2006/relationships/image" Target="../media/image16.gif"/><Relationship Id="rId20" Type="http://schemas.openxmlformats.org/officeDocument/2006/relationships/image" Target="../media/image20.gif"/><Relationship Id="rId29" Type="http://schemas.openxmlformats.org/officeDocument/2006/relationships/image" Target="../media/image29.gif"/><Relationship Id="rId1" Type="http://schemas.openxmlformats.org/officeDocument/2006/relationships/image" Target="../media/image1.gif"/><Relationship Id="rId6" Type="http://schemas.openxmlformats.org/officeDocument/2006/relationships/image" Target="../media/image6.gif"/><Relationship Id="rId11" Type="http://schemas.openxmlformats.org/officeDocument/2006/relationships/image" Target="../media/image11.gif"/><Relationship Id="rId24" Type="http://schemas.openxmlformats.org/officeDocument/2006/relationships/image" Target="../media/image24.gif"/><Relationship Id="rId32" Type="http://schemas.openxmlformats.org/officeDocument/2006/relationships/image" Target="../media/image32.gif"/><Relationship Id="rId37" Type="http://schemas.openxmlformats.org/officeDocument/2006/relationships/image" Target="../media/image37.gif"/><Relationship Id="rId40" Type="http://schemas.openxmlformats.org/officeDocument/2006/relationships/image" Target="../media/image40.gif"/><Relationship Id="rId5" Type="http://schemas.openxmlformats.org/officeDocument/2006/relationships/image" Target="../media/image5.gif"/><Relationship Id="rId15" Type="http://schemas.openxmlformats.org/officeDocument/2006/relationships/image" Target="../media/image15.gif"/><Relationship Id="rId23" Type="http://schemas.openxmlformats.org/officeDocument/2006/relationships/image" Target="../media/image23.gif"/><Relationship Id="rId28" Type="http://schemas.openxmlformats.org/officeDocument/2006/relationships/image" Target="../media/image28.gif"/><Relationship Id="rId36" Type="http://schemas.openxmlformats.org/officeDocument/2006/relationships/image" Target="../media/image36.gif"/><Relationship Id="rId10" Type="http://schemas.openxmlformats.org/officeDocument/2006/relationships/image" Target="../media/image10.gif"/><Relationship Id="rId19" Type="http://schemas.openxmlformats.org/officeDocument/2006/relationships/image" Target="../media/image19.gif"/><Relationship Id="rId31" Type="http://schemas.openxmlformats.org/officeDocument/2006/relationships/image" Target="../media/image31.gif"/><Relationship Id="rId4" Type="http://schemas.openxmlformats.org/officeDocument/2006/relationships/image" Target="../media/image4.gif"/><Relationship Id="rId9" Type="http://schemas.openxmlformats.org/officeDocument/2006/relationships/image" Target="../media/image9.gif"/><Relationship Id="rId14" Type="http://schemas.openxmlformats.org/officeDocument/2006/relationships/image" Target="../media/image14.gif"/><Relationship Id="rId22" Type="http://schemas.openxmlformats.org/officeDocument/2006/relationships/image" Target="../media/image22.gif"/><Relationship Id="rId27" Type="http://schemas.openxmlformats.org/officeDocument/2006/relationships/image" Target="../media/image27.gif"/><Relationship Id="rId30" Type="http://schemas.openxmlformats.org/officeDocument/2006/relationships/image" Target="../media/image30.gif"/><Relationship Id="rId35" Type="http://schemas.openxmlformats.org/officeDocument/2006/relationships/image" Target="../media/image35.gif"/><Relationship Id="rId8" Type="http://schemas.openxmlformats.org/officeDocument/2006/relationships/image" Target="../media/image8.gif"/><Relationship Id="rId3" Type="http://schemas.openxmlformats.org/officeDocument/2006/relationships/image" Target="../media/image3.gi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163285</xdr:colOff>
      <xdr:row>5</xdr:row>
      <xdr:rowOff>43542</xdr:rowOff>
    </xdr:from>
    <xdr:to>
      <xdr:col>17</xdr:col>
      <xdr:colOff>2887435</xdr:colOff>
      <xdr:row>5</xdr:row>
      <xdr:rowOff>1642382</xdr:rowOff>
    </xdr:to>
    <xdr:pic>
      <xdr:nvPicPr>
        <xdr:cNvPr id="42" name="_x511845496">
          <a:extLst>
            <a:ext uri="{FF2B5EF4-FFF2-40B4-BE49-F238E27FC236}">
              <a16:creationId xmlns:a16="http://schemas.microsoft.com/office/drawing/2014/main" id="{A2106D30-D8E5-35D3-A1E3-55F6B6BCB6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79928" y="2288721"/>
          <a:ext cx="2724150" cy="15988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163285</xdr:colOff>
      <xdr:row>6</xdr:row>
      <xdr:rowOff>43543</xdr:rowOff>
    </xdr:from>
    <xdr:to>
      <xdr:col>17</xdr:col>
      <xdr:colOff>2877910</xdr:colOff>
      <xdr:row>6</xdr:row>
      <xdr:rowOff>1642382</xdr:rowOff>
    </xdr:to>
    <xdr:pic>
      <xdr:nvPicPr>
        <xdr:cNvPr id="43" name="_x860434064">
          <a:extLst>
            <a:ext uri="{FF2B5EF4-FFF2-40B4-BE49-F238E27FC236}">
              <a16:creationId xmlns:a16="http://schemas.microsoft.com/office/drawing/2014/main" id="{6F36A857-489B-D9A9-8227-DE282F43BD3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79928" y="3935186"/>
          <a:ext cx="2714625" cy="15988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163285</xdr:colOff>
      <xdr:row>7</xdr:row>
      <xdr:rowOff>43543</xdr:rowOff>
    </xdr:from>
    <xdr:to>
      <xdr:col>17</xdr:col>
      <xdr:colOff>2896960</xdr:colOff>
      <xdr:row>7</xdr:row>
      <xdr:rowOff>1642382</xdr:rowOff>
    </xdr:to>
    <xdr:pic>
      <xdr:nvPicPr>
        <xdr:cNvPr id="44" name="_x860434280">
          <a:extLst>
            <a:ext uri="{FF2B5EF4-FFF2-40B4-BE49-F238E27FC236}">
              <a16:creationId xmlns:a16="http://schemas.microsoft.com/office/drawing/2014/main" id="{3B9DD329-C69D-95DE-A2E4-DC2CF886F5E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79928" y="5581650"/>
          <a:ext cx="2733675" cy="15988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163285</xdr:colOff>
      <xdr:row>8</xdr:row>
      <xdr:rowOff>43543</xdr:rowOff>
    </xdr:from>
    <xdr:to>
      <xdr:col>17</xdr:col>
      <xdr:colOff>2877910</xdr:colOff>
      <xdr:row>8</xdr:row>
      <xdr:rowOff>1642382</xdr:rowOff>
    </xdr:to>
    <xdr:pic>
      <xdr:nvPicPr>
        <xdr:cNvPr id="45" name="_x860432480">
          <a:extLst>
            <a:ext uri="{FF2B5EF4-FFF2-40B4-BE49-F238E27FC236}">
              <a16:creationId xmlns:a16="http://schemas.microsoft.com/office/drawing/2014/main" id="{94456624-04A6-ACEE-BE17-EE74BD868F4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79928" y="7228114"/>
          <a:ext cx="2714625" cy="15988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163285</xdr:colOff>
      <xdr:row>9</xdr:row>
      <xdr:rowOff>43542</xdr:rowOff>
    </xdr:from>
    <xdr:to>
      <xdr:col>17</xdr:col>
      <xdr:colOff>2877910</xdr:colOff>
      <xdr:row>9</xdr:row>
      <xdr:rowOff>1642382</xdr:rowOff>
    </xdr:to>
    <xdr:pic>
      <xdr:nvPicPr>
        <xdr:cNvPr id="46" name="_x860432552">
          <a:extLst>
            <a:ext uri="{FF2B5EF4-FFF2-40B4-BE49-F238E27FC236}">
              <a16:creationId xmlns:a16="http://schemas.microsoft.com/office/drawing/2014/main" id="{C5FAEB97-C9FF-053C-C5F0-834B3CD6758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79928" y="8874578"/>
          <a:ext cx="2714625" cy="15988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149678</xdr:colOff>
      <xdr:row>10</xdr:row>
      <xdr:rowOff>29936</xdr:rowOff>
    </xdr:from>
    <xdr:to>
      <xdr:col>17</xdr:col>
      <xdr:colOff>2873828</xdr:colOff>
      <xdr:row>10</xdr:row>
      <xdr:rowOff>1628775</xdr:rowOff>
    </xdr:to>
    <xdr:pic>
      <xdr:nvPicPr>
        <xdr:cNvPr id="47" name="_x517647784">
          <a:extLst>
            <a:ext uri="{FF2B5EF4-FFF2-40B4-BE49-F238E27FC236}">
              <a16:creationId xmlns:a16="http://schemas.microsoft.com/office/drawing/2014/main" id="{2A368B48-E1CB-DF81-5126-EA57AAD3948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66321" y="10507436"/>
          <a:ext cx="2724150" cy="15988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149678</xdr:colOff>
      <xdr:row>11</xdr:row>
      <xdr:rowOff>29936</xdr:rowOff>
    </xdr:from>
    <xdr:to>
      <xdr:col>17</xdr:col>
      <xdr:colOff>2864303</xdr:colOff>
      <xdr:row>11</xdr:row>
      <xdr:rowOff>1628775</xdr:rowOff>
    </xdr:to>
    <xdr:pic>
      <xdr:nvPicPr>
        <xdr:cNvPr id="48" name="_x735937816">
          <a:extLst>
            <a:ext uri="{FF2B5EF4-FFF2-40B4-BE49-F238E27FC236}">
              <a16:creationId xmlns:a16="http://schemas.microsoft.com/office/drawing/2014/main" id="{9327BEEE-2705-A32B-25E6-A9282E60E5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66321" y="12153900"/>
          <a:ext cx="2714625" cy="15988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149678</xdr:colOff>
      <xdr:row>12</xdr:row>
      <xdr:rowOff>29935</xdr:rowOff>
    </xdr:from>
    <xdr:to>
      <xdr:col>17</xdr:col>
      <xdr:colOff>2864303</xdr:colOff>
      <xdr:row>12</xdr:row>
      <xdr:rowOff>1628775</xdr:rowOff>
    </xdr:to>
    <xdr:pic>
      <xdr:nvPicPr>
        <xdr:cNvPr id="49" name="_x517670232">
          <a:extLst>
            <a:ext uri="{FF2B5EF4-FFF2-40B4-BE49-F238E27FC236}">
              <a16:creationId xmlns:a16="http://schemas.microsoft.com/office/drawing/2014/main" id="{FBFF51E6-0661-B74F-1895-3794F66BBA3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66321" y="13800364"/>
          <a:ext cx="2714625" cy="15988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149678</xdr:colOff>
      <xdr:row>13</xdr:row>
      <xdr:rowOff>29936</xdr:rowOff>
    </xdr:from>
    <xdr:to>
      <xdr:col>17</xdr:col>
      <xdr:colOff>2864303</xdr:colOff>
      <xdr:row>13</xdr:row>
      <xdr:rowOff>1628775</xdr:rowOff>
    </xdr:to>
    <xdr:pic>
      <xdr:nvPicPr>
        <xdr:cNvPr id="50" name="_x859439480">
          <a:extLst>
            <a:ext uri="{FF2B5EF4-FFF2-40B4-BE49-F238E27FC236}">
              <a16:creationId xmlns:a16="http://schemas.microsoft.com/office/drawing/2014/main" id="{9DC8B9FF-0435-473D-AE00-683D5123A1C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66321" y="15446829"/>
          <a:ext cx="2714625" cy="15988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149678</xdr:colOff>
      <xdr:row>14</xdr:row>
      <xdr:rowOff>29936</xdr:rowOff>
    </xdr:from>
    <xdr:to>
      <xdr:col>17</xdr:col>
      <xdr:colOff>2864303</xdr:colOff>
      <xdr:row>14</xdr:row>
      <xdr:rowOff>1628775</xdr:rowOff>
    </xdr:to>
    <xdr:pic>
      <xdr:nvPicPr>
        <xdr:cNvPr id="51" name="_x859440488">
          <a:extLst>
            <a:ext uri="{FF2B5EF4-FFF2-40B4-BE49-F238E27FC236}">
              <a16:creationId xmlns:a16="http://schemas.microsoft.com/office/drawing/2014/main" id="{691D69CF-2BDC-5AD8-7C8A-9138D406C4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66321" y="17093293"/>
          <a:ext cx="2714625" cy="15988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176893</xdr:colOff>
      <xdr:row>15</xdr:row>
      <xdr:rowOff>43543</xdr:rowOff>
    </xdr:from>
    <xdr:to>
      <xdr:col>17</xdr:col>
      <xdr:colOff>2901043</xdr:colOff>
      <xdr:row>15</xdr:row>
      <xdr:rowOff>1642382</xdr:rowOff>
    </xdr:to>
    <xdr:pic>
      <xdr:nvPicPr>
        <xdr:cNvPr id="52" name="_x517648000">
          <a:extLst>
            <a:ext uri="{FF2B5EF4-FFF2-40B4-BE49-F238E27FC236}">
              <a16:creationId xmlns:a16="http://schemas.microsoft.com/office/drawing/2014/main" id="{A06F40E2-770A-C305-E20D-639A01F9723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93536" y="18753364"/>
          <a:ext cx="2724150" cy="15988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176893</xdr:colOff>
      <xdr:row>16</xdr:row>
      <xdr:rowOff>43542</xdr:rowOff>
    </xdr:from>
    <xdr:to>
      <xdr:col>17</xdr:col>
      <xdr:colOff>2891518</xdr:colOff>
      <xdr:row>16</xdr:row>
      <xdr:rowOff>1642382</xdr:rowOff>
    </xdr:to>
    <xdr:pic>
      <xdr:nvPicPr>
        <xdr:cNvPr id="53" name="_x857221856">
          <a:extLst>
            <a:ext uri="{FF2B5EF4-FFF2-40B4-BE49-F238E27FC236}">
              <a16:creationId xmlns:a16="http://schemas.microsoft.com/office/drawing/2014/main" id="{965EC04E-3E17-C3B6-2F94-48F3DB50EA0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93536" y="20399828"/>
          <a:ext cx="2714625" cy="15988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176893</xdr:colOff>
      <xdr:row>17</xdr:row>
      <xdr:rowOff>43543</xdr:rowOff>
    </xdr:from>
    <xdr:to>
      <xdr:col>17</xdr:col>
      <xdr:colOff>2891518</xdr:colOff>
      <xdr:row>17</xdr:row>
      <xdr:rowOff>1642382</xdr:rowOff>
    </xdr:to>
    <xdr:pic>
      <xdr:nvPicPr>
        <xdr:cNvPr id="54" name="_x517670952">
          <a:extLst>
            <a:ext uri="{FF2B5EF4-FFF2-40B4-BE49-F238E27FC236}">
              <a16:creationId xmlns:a16="http://schemas.microsoft.com/office/drawing/2014/main" id="{F390D1E4-BA3F-D9A6-AC4F-5264DE11C9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93536" y="22046293"/>
          <a:ext cx="2714625" cy="15988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176893</xdr:colOff>
      <xdr:row>18</xdr:row>
      <xdr:rowOff>43543</xdr:rowOff>
    </xdr:from>
    <xdr:to>
      <xdr:col>17</xdr:col>
      <xdr:colOff>2891518</xdr:colOff>
      <xdr:row>18</xdr:row>
      <xdr:rowOff>1642382</xdr:rowOff>
    </xdr:to>
    <xdr:pic>
      <xdr:nvPicPr>
        <xdr:cNvPr id="55" name="_x859459792">
          <a:extLst>
            <a:ext uri="{FF2B5EF4-FFF2-40B4-BE49-F238E27FC236}">
              <a16:creationId xmlns:a16="http://schemas.microsoft.com/office/drawing/2014/main" id="{90C243C6-90B3-E7F3-0075-A00D9AB80B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93536" y="23692757"/>
          <a:ext cx="2714625" cy="15988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176893</xdr:colOff>
      <xdr:row>19</xdr:row>
      <xdr:rowOff>29935</xdr:rowOff>
    </xdr:from>
    <xdr:to>
      <xdr:col>17</xdr:col>
      <xdr:colOff>2891518</xdr:colOff>
      <xdr:row>19</xdr:row>
      <xdr:rowOff>1628775</xdr:rowOff>
    </xdr:to>
    <xdr:pic>
      <xdr:nvPicPr>
        <xdr:cNvPr id="56" name="_x859459000">
          <a:extLst>
            <a:ext uri="{FF2B5EF4-FFF2-40B4-BE49-F238E27FC236}">
              <a16:creationId xmlns:a16="http://schemas.microsoft.com/office/drawing/2014/main" id="{DE479AB6-E453-80BD-7213-5CF3A5C440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93536" y="25325614"/>
          <a:ext cx="2714625" cy="15988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178798</xdr:colOff>
      <xdr:row>20</xdr:row>
      <xdr:rowOff>41638</xdr:rowOff>
    </xdr:from>
    <xdr:to>
      <xdr:col>17</xdr:col>
      <xdr:colOff>2899138</xdr:colOff>
      <xdr:row>20</xdr:row>
      <xdr:rowOff>1642382</xdr:rowOff>
    </xdr:to>
    <xdr:pic>
      <xdr:nvPicPr>
        <xdr:cNvPr id="57" name="_x730878960">
          <a:extLst>
            <a:ext uri="{FF2B5EF4-FFF2-40B4-BE49-F238E27FC236}">
              <a16:creationId xmlns:a16="http://schemas.microsoft.com/office/drawing/2014/main" id="{9E412858-7669-67A4-BCBA-F7E7622091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87969" y="26951124"/>
          <a:ext cx="2720340" cy="160074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176893</xdr:colOff>
      <xdr:row>21</xdr:row>
      <xdr:rowOff>43543</xdr:rowOff>
    </xdr:from>
    <xdr:to>
      <xdr:col>17</xdr:col>
      <xdr:colOff>2891518</xdr:colOff>
      <xdr:row>21</xdr:row>
      <xdr:rowOff>1642382</xdr:rowOff>
    </xdr:to>
    <xdr:pic>
      <xdr:nvPicPr>
        <xdr:cNvPr id="58" name="_x730873272">
          <a:extLst>
            <a:ext uri="{FF2B5EF4-FFF2-40B4-BE49-F238E27FC236}">
              <a16:creationId xmlns:a16="http://schemas.microsoft.com/office/drawing/2014/main" id="{E827A65D-972F-BF0A-465F-0BD69CCD5B3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93536" y="28632150"/>
          <a:ext cx="2714625" cy="15988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176893</xdr:colOff>
      <xdr:row>22</xdr:row>
      <xdr:rowOff>43543</xdr:rowOff>
    </xdr:from>
    <xdr:to>
      <xdr:col>17</xdr:col>
      <xdr:colOff>2891518</xdr:colOff>
      <xdr:row>22</xdr:row>
      <xdr:rowOff>1642382</xdr:rowOff>
    </xdr:to>
    <xdr:pic>
      <xdr:nvPicPr>
        <xdr:cNvPr id="59" name="_x126379488">
          <a:extLst>
            <a:ext uri="{FF2B5EF4-FFF2-40B4-BE49-F238E27FC236}">
              <a16:creationId xmlns:a16="http://schemas.microsoft.com/office/drawing/2014/main" id="{769627A5-D188-7FD3-4F1D-87387E4E0E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93536" y="30278614"/>
          <a:ext cx="2714625" cy="15988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176893</xdr:colOff>
      <xdr:row>23</xdr:row>
      <xdr:rowOff>43542</xdr:rowOff>
    </xdr:from>
    <xdr:to>
      <xdr:col>17</xdr:col>
      <xdr:colOff>2891518</xdr:colOff>
      <xdr:row>23</xdr:row>
      <xdr:rowOff>1642382</xdr:rowOff>
    </xdr:to>
    <xdr:pic>
      <xdr:nvPicPr>
        <xdr:cNvPr id="60" name="_x860419760">
          <a:extLst>
            <a:ext uri="{FF2B5EF4-FFF2-40B4-BE49-F238E27FC236}">
              <a16:creationId xmlns:a16="http://schemas.microsoft.com/office/drawing/2014/main" id="{F3035A50-6F94-E1C4-2352-BD60D85E40F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93536" y="31925078"/>
          <a:ext cx="2714625" cy="15988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176893</xdr:colOff>
      <xdr:row>24</xdr:row>
      <xdr:rowOff>43543</xdr:rowOff>
    </xdr:from>
    <xdr:to>
      <xdr:col>17</xdr:col>
      <xdr:colOff>2891518</xdr:colOff>
      <xdr:row>24</xdr:row>
      <xdr:rowOff>1642382</xdr:rowOff>
    </xdr:to>
    <xdr:pic>
      <xdr:nvPicPr>
        <xdr:cNvPr id="61" name="_x860419832">
          <a:extLst>
            <a:ext uri="{FF2B5EF4-FFF2-40B4-BE49-F238E27FC236}">
              <a16:creationId xmlns:a16="http://schemas.microsoft.com/office/drawing/2014/main" id="{40348C2D-0486-4099-5E77-5F2E547D03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93536" y="33571543"/>
          <a:ext cx="2714625" cy="15988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178798</xdr:colOff>
      <xdr:row>25</xdr:row>
      <xdr:rowOff>41638</xdr:rowOff>
    </xdr:from>
    <xdr:to>
      <xdr:col>17</xdr:col>
      <xdr:colOff>2899138</xdr:colOff>
      <xdr:row>25</xdr:row>
      <xdr:rowOff>1642382</xdr:rowOff>
    </xdr:to>
    <xdr:pic>
      <xdr:nvPicPr>
        <xdr:cNvPr id="62" name="_x511845496">
          <a:extLst>
            <a:ext uri="{FF2B5EF4-FFF2-40B4-BE49-F238E27FC236}">
              <a16:creationId xmlns:a16="http://schemas.microsoft.com/office/drawing/2014/main" id="{DA461E6B-1081-A9E5-A427-8E8BD3D3E3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87969" y="35169838"/>
          <a:ext cx="2720340" cy="160074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178798</xdr:colOff>
      <xdr:row>26</xdr:row>
      <xdr:rowOff>41637</xdr:rowOff>
    </xdr:from>
    <xdr:to>
      <xdr:col>17</xdr:col>
      <xdr:colOff>2891518</xdr:colOff>
      <xdr:row>26</xdr:row>
      <xdr:rowOff>1642382</xdr:rowOff>
    </xdr:to>
    <xdr:pic>
      <xdr:nvPicPr>
        <xdr:cNvPr id="63" name="_x860341744">
          <a:extLst>
            <a:ext uri="{FF2B5EF4-FFF2-40B4-BE49-F238E27FC236}">
              <a16:creationId xmlns:a16="http://schemas.microsoft.com/office/drawing/2014/main" id="{6513612D-033F-2016-73EF-F7EF32A1CE7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87969" y="36813580"/>
          <a:ext cx="2712720" cy="16007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176893</xdr:colOff>
      <xdr:row>27</xdr:row>
      <xdr:rowOff>43543</xdr:rowOff>
    </xdr:from>
    <xdr:to>
      <xdr:col>17</xdr:col>
      <xdr:colOff>2891518</xdr:colOff>
      <xdr:row>27</xdr:row>
      <xdr:rowOff>1642382</xdr:rowOff>
    </xdr:to>
    <xdr:pic>
      <xdr:nvPicPr>
        <xdr:cNvPr id="64" name="_x860342680">
          <a:extLst>
            <a:ext uri="{FF2B5EF4-FFF2-40B4-BE49-F238E27FC236}">
              <a16:creationId xmlns:a16="http://schemas.microsoft.com/office/drawing/2014/main" id="{A1B5193C-2217-EE6B-1D61-F739387BD7B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93536" y="38510936"/>
          <a:ext cx="2714625" cy="15988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176893</xdr:colOff>
      <xdr:row>28</xdr:row>
      <xdr:rowOff>43543</xdr:rowOff>
    </xdr:from>
    <xdr:to>
      <xdr:col>17</xdr:col>
      <xdr:colOff>2891518</xdr:colOff>
      <xdr:row>28</xdr:row>
      <xdr:rowOff>1642382</xdr:rowOff>
    </xdr:to>
    <xdr:pic>
      <xdr:nvPicPr>
        <xdr:cNvPr id="65" name="_x860341960">
          <a:extLst>
            <a:ext uri="{FF2B5EF4-FFF2-40B4-BE49-F238E27FC236}">
              <a16:creationId xmlns:a16="http://schemas.microsoft.com/office/drawing/2014/main" id="{C28CBE19-017F-1A70-6CC7-7FEA861D94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93536" y="40157400"/>
          <a:ext cx="2714625" cy="15988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178798</xdr:colOff>
      <xdr:row>29</xdr:row>
      <xdr:rowOff>41638</xdr:rowOff>
    </xdr:from>
    <xdr:to>
      <xdr:col>17</xdr:col>
      <xdr:colOff>2891518</xdr:colOff>
      <xdr:row>29</xdr:row>
      <xdr:rowOff>1642382</xdr:rowOff>
    </xdr:to>
    <xdr:pic>
      <xdr:nvPicPr>
        <xdr:cNvPr id="66" name="_x860342392">
          <a:extLst>
            <a:ext uri="{FF2B5EF4-FFF2-40B4-BE49-F238E27FC236}">
              <a16:creationId xmlns:a16="http://schemas.microsoft.com/office/drawing/2014/main" id="{9B86E179-0DB8-1DEC-5953-AEE11F7A8EF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87969" y="41744809"/>
          <a:ext cx="2712720" cy="160074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176893</xdr:colOff>
      <xdr:row>30</xdr:row>
      <xdr:rowOff>43542</xdr:rowOff>
    </xdr:from>
    <xdr:to>
      <xdr:col>17</xdr:col>
      <xdr:colOff>2901043</xdr:colOff>
      <xdr:row>30</xdr:row>
      <xdr:rowOff>1642382</xdr:rowOff>
    </xdr:to>
    <xdr:pic>
      <xdr:nvPicPr>
        <xdr:cNvPr id="67" name="_x511845496">
          <a:extLst>
            <a:ext uri="{FF2B5EF4-FFF2-40B4-BE49-F238E27FC236}">
              <a16:creationId xmlns:a16="http://schemas.microsoft.com/office/drawing/2014/main" id="{1658800C-9D91-08F4-21D2-245D9A31036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93536" y="43450328"/>
          <a:ext cx="2724150" cy="15988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176893</xdr:colOff>
      <xdr:row>31</xdr:row>
      <xdr:rowOff>43543</xdr:rowOff>
    </xdr:from>
    <xdr:to>
      <xdr:col>17</xdr:col>
      <xdr:colOff>2891518</xdr:colOff>
      <xdr:row>31</xdr:row>
      <xdr:rowOff>1642382</xdr:rowOff>
    </xdr:to>
    <xdr:pic>
      <xdr:nvPicPr>
        <xdr:cNvPr id="68" name="_x859338168">
          <a:extLst>
            <a:ext uri="{FF2B5EF4-FFF2-40B4-BE49-F238E27FC236}">
              <a16:creationId xmlns:a16="http://schemas.microsoft.com/office/drawing/2014/main" id="{9D6E6F33-D2DB-2F17-AB5B-AA87F268AF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93536" y="45096793"/>
          <a:ext cx="2714625" cy="15988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178798</xdr:colOff>
      <xdr:row>32</xdr:row>
      <xdr:rowOff>41638</xdr:rowOff>
    </xdr:from>
    <xdr:to>
      <xdr:col>17</xdr:col>
      <xdr:colOff>2891518</xdr:colOff>
      <xdr:row>32</xdr:row>
      <xdr:rowOff>1642382</xdr:rowOff>
    </xdr:to>
    <xdr:pic>
      <xdr:nvPicPr>
        <xdr:cNvPr id="69" name="_x859338096">
          <a:extLst>
            <a:ext uri="{FF2B5EF4-FFF2-40B4-BE49-F238E27FC236}">
              <a16:creationId xmlns:a16="http://schemas.microsoft.com/office/drawing/2014/main" id="{3C035339-7221-7F3B-7011-AF59CE742C0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87969" y="46676038"/>
          <a:ext cx="2712720" cy="160074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178798</xdr:colOff>
      <xdr:row>33</xdr:row>
      <xdr:rowOff>41637</xdr:rowOff>
    </xdr:from>
    <xdr:to>
      <xdr:col>17</xdr:col>
      <xdr:colOff>2891518</xdr:colOff>
      <xdr:row>33</xdr:row>
      <xdr:rowOff>1642382</xdr:rowOff>
    </xdr:to>
    <xdr:pic>
      <xdr:nvPicPr>
        <xdr:cNvPr id="70" name="_x859339032">
          <a:extLst>
            <a:ext uri="{FF2B5EF4-FFF2-40B4-BE49-F238E27FC236}">
              <a16:creationId xmlns:a16="http://schemas.microsoft.com/office/drawing/2014/main" id="{EC45C2A1-DDB6-FE45-3916-FB57AF3A8E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87969" y="48319780"/>
          <a:ext cx="2712720" cy="16007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176893</xdr:colOff>
      <xdr:row>34</xdr:row>
      <xdr:rowOff>43543</xdr:rowOff>
    </xdr:from>
    <xdr:to>
      <xdr:col>17</xdr:col>
      <xdr:colOff>2891518</xdr:colOff>
      <xdr:row>34</xdr:row>
      <xdr:rowOff>1642382</xdr:rowOff>
    </xdr:to>
    <xdr:pic>
      <xdr:nvPicPr>
        <xdr:cNvPr id="71" name="_x859338456">
          <a:extLst>
            <a:ext uri="{FF2B5EF4-FFF2-40B4-BE49-F238E27FC236}">
              <a16:creationId xmlns:a16="http://schemas.microsoft.com/office/drawing/2014/main" id="{95661908-6075-5AE9-752F-1B2D36C7B8E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93536" y="50036186"/>
          <a:ext cx="2714625" cy="15988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163286</xdr:colOff>
      <xdr:row>35</xdr:row>
      <xdr:rowOff>29936</xdr:rowOff>
    </xdr:from>
    <xdr:to>
      <xdr:col>17</xdr:col>
      <xdr:colOff>2887436</xdr:colOff>
      <xdr:row>35</xdr:row>
      <xdr:rowOff>1628775</xdr:rowOff>
    </xdr:to>
    <xdr:pic>
      <xdr:nvPicPr>
        <xdr:cNvPr id="72" name="_x857223512">
          <a:extLst>
            <a:ext uri="{FF2B5EF4-FFF2-40B4-BE49-F238E27FC236}">
              <a16:creationId xmlns:a16="http://schemas.microsoft.com/office/drawing/2014/main" id="{91A28341-704D-693A-E9CE-CA22B5674AE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79929" y="51669043"/>
          <a:ext cx="2724150" cy="15988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163286</xdr:colOff>
      <xdr:row>36</xdr:row>
      <xdr:rowOff>43543</xdr:rowOff>
    </xdr:from>
    <xdr:to>
      <xdr:col>17</xdr:col>
      <xdr:colOff>2877911</xdr:colOff>
      <xdr:row>36</xdr:row>
      <xdr:rowOff>1642382</xdr:rowOff>
    </xdr:to>
    <xdr:pic>
      <xdr:nvPicPr>
        <xdr:cNvPr id="73" name="_x517648000">
          <a:extLst>
            <a:ext uri="{FF2B5EF4-FFF2-40B4-BE49-F238E27FC236}">
              <a16:creationId xmlns:a16="http://schemas.microsoft.com/office/drawing/2014/main" id="{89104B37-15DC-36C2-A5D4-FB025B4E29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79929" y="53329114"/>
          <a:ext cx="2714625" cy="15988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161381</xdr:colOff>
      <xdr:row>37</xdr:row>
      <xdr:rowOff>41637</xdr:rowOff>
    </xdr:from>
    <xdr:to>
      <xdr:col>17</xdr:col>
      <xdr:colOff>2881721</xdr:colOff>
      <xdr:row>37</xdr:row>
      <xdr:rowOff>1642382</xdr:rowOff>
    </xdr:to>
    <xdr:pic>
      <xdr:nvPicPr>
        <xdr:cNvPr id="74" name="_x517647856">
          <a:extLst>
            <a:ext uri="{FF2B5EF4-FFF2-40B4-BE49-F238E27FC236}">
              <a16:creationId xmlns:a16="http://schemas.microsoft.com/office/drawing/2014/main" id="{2ED486C4-98A2-F826-3391-FBF357D9415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70552" y="54894751"/>
          <a:ext cx="2720340" cy="16007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163286</xdr:colOff>
      <xdr:row>38</xdr:row>
      <xdr:rowOff>43543</xdr:rowOff>
    </xdr:from>
    <xdr:to>
      <xdr:col>17</xdr:col>
      <xdr:colOff>2877911</xdr:colOff>
      <xdr:row>38</xdr:row>
      <xdr:rowOff>1642382</xdr:rowOff>
    </xdr:to>
    <xdr:pic>
      <xdr:nvPicPr>
        <xdr:cNvPr id="75" name="_x517670952">
          <a:extLst>
            <a:ext uri="{FF2B5EF4-FFF2-40B4-BE49-F238E27FC236}">
              <a16:creationId xmlns:a16="http://schemas.microsoft.com/office/drawing/2014/main" id="{A2A7C8D9-0991-82BF-7B87-D7C3891EDE2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79929" y="56622043"/>
          <a:ext cx="2714625" cy="15988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163286</xdr:colOff>
      <xdr:row>39</xdr:row>
      <xdr:rowOff>43543</xdr:rowOff>
    </xdr:from>
    <xdr:to>
      <xdr:col>17</xdr:col>
      <xdr:colOff>2877911</xdr:colOff>
      <xdr:row>39</xdr:row>
      <xdr:rowOff>1642382</xdr:rowOff>
    </xdr:to>
    <xdr:pic>
      <xdr:nvPicPr>
        <xdr:cNvPr id="76" name="_x857222000">
          <a:extLst>
            <a:ext uri="{FF2B5EF4-FFF2-40B4-BE49-F238E27FC236}">
              <a16:creationId xmlns:a16="http://schemas.microsoft.com/office/drawing/2014/main" id="{F07E73CE-7E45-E0DF-81EB-BF16947B53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79929" y="58268507"/>
          <a:ext cx="2714625" cy="15988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161380</xdr:colOff>
      <xdr:row>40</xdr:row>
      <xdr:rowOff>31840</xdr:rowOff>
    </xdr:from>
    <xdr:to>
      <xdr:col>17</xdr:col>
      <xdr:colOff>2889340</xdr:colOff>
      <xdr:row>40</xdr:row>
      <xdr:rowOff>1630680</xdr:rowOff>
    </xdr:to>
    <xdr:pic>
      <xdr:nvPicPr>
        <xdr:cNvPr id="77" name="_x857221856">
          <a:extLst>
            <a:ext uri="{FF2B5EF4-FFF2-40B4-BE49-F238E27FC236}">
              <a16:creationId xmlns:a16="http://schemas.microsoft.com/office/drawing/2014/main" id="{087BF813-50EE-0C91-10E1-81F7997482A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70551" y="59816183"/>
          <a:ext cx="2727960" cy="15988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163285</xdr:colOff>
      <xdr:row>41</xdr:row>
      <xdr:rowOff>29936</xdr:rowOff>
    </xdr:from>
    <xdr:to>
      <xdr:col>17</xdr:col>
      <xdr:colOff>2877910</xdr:colOff>
      <xdr:row>41</xdr:row>
      <xdr:rowOff>1628775</xdr:rowOff>
    </xdr:to>
    <xdr:pic>
      <xdr:nvPicPr>
        <xdr:cNvPr id="78" name="_x517646992">
          <a:extLst>
            <a:ext uri="{FF2B5EF4-FFF2-40B4-BE49-F238E27FC236}">
              <a16:creationId xmlns:a16="http://schemas.microsoft.com/office/drawing/2014/main" id="{A5C217EE-2FAC-72A5-9995-195B8DB0DF1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79928" y="61547829"/>
          <a:ext cx="2714625" cy="15988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161380</xdr:colOff>
      <xdr:row>42</xdr:row>
      <xdr:rowOff>31841</xdr:rowOff>
    </xdr:from>
    <xdr:to>
      <xdr:col>17</xdr:col>
      <xdr:colOff>2881720</xdr:colOff>
      <xdr:row>42</xdr:row>
      <xdr:rowOff>1630680</xdr:rowOff>
    </xdr:to>
    <xdr:pic>
      <xdr:nvPicPr>
        <xdr:cNvPr id="79" name="_x517648000">
          <a:extLst>
            <a:ext uri="{FF2B5EF4-FFF2-40B4-BE49-F238E27FC236}">
              <a16:creationId xmlns:a16="http://schemas.microsoft.com/office/drawing/2014/main" id="{0BAE15C7-33F3-131C-1061-50DB2BF583A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70551" y="63103670"/>
          <a:ext cx="2720340" cy="15988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163285</xdr:colOff>
      <xdr:row>43</xdr:row>
      <xdr:rowOff>29936</xdr:rowOff>
    </xdr:from>
    <xdr:to>
      <xdr:col>17</xdr:col>
      <xdr:colOff>2877910</xdr:colOff>
      <xdr:row>43</xdr:row>
      <xdr:rowOff>1628775</xdr:rowOff>
    </xdr:to>
    <xdr:pic>
      <xdr:nvPicPr>
        <xdr:cNvPr id="80" name="_x517670952">
          <a:extLst>
            <a:ext uri="{FF2B5EF4-FFF2-40B4-BE49-F238E27FC236}">
              <a16:creationId xmlns:a16="http://schemas.microsoft.com/office/drawing/2014/main" id="{EDAEFEB0-7D1B-AFA4-AA1A-A7AA897C5CB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79928" y="64840757"/>
          <a:ext cx="2714625" cy="15988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163285</xdr:colOff>
      <xdr:row>44</xdr:row>
      <xdr:rowOff>29935</xdr:rowOff>
    </xdr:from>
    <xdr:to>
      <xdr:col>17</xdr:col>
      <xdr:colOff>2877910</xdr:colOff>
      <xdr:row>44</xdr:row>
      <xdr:rowOff>1628775</xdr:rowOff>
    </xdr:to>
    <xdr:pic>
      <xdr:nvPicPr>
        <xdr:cNvPr id="81" name="_x857223584">
          <a:extLst>
            <a:ext uri="{FF2B5EF4-FFF2-40B4-BE49-F238E27FC236}">
              <a16:creationId xmlns:a16="http://schemas.microsoft.com/office/drawing/2014/main" id="{3F4B7E04-A3F5-F5F0-ECCB-13C26000E50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79928" y="66487221"/>
          <a:ext cx="2714625" cy="15988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163285</xdr:colOff>
      <xdr:row>4</xdr:row>
      <xdr:rowOff>43542</xdr:rowOff>
    </xdr:from>
    <xdr:to>
      <xdr:col>1</xdr:col>
      <xdr:colOff>2887435</xdr:colOff>
      <xdr:row>4</xdr:row>
      <xdr:rowOff>1642382</xdr:rowOff>
    </xdr:to>
    <xdr:pic>
      <xdr:nvPicPr>
        <xdr:cNvPr id="2" name="_x511845496">
          <a:extLst>
            <a:ext uri="{FF2B5EF4-FFF2-40B4-BE49-F238E27FC236}">
              <a16:creationId xmlns:a16="http://schemas.microsoft.com/office/drawing/2014/main" id="{2ABD6E4A-E821-423E-A650-3EE349AA04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03060" y="2300967"/>
          <a:ext cx="2724150" cy="15988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163285</xdr:colOff>
      <xdr:row>5</xdr:row>
      <xdr:rowOff>43543</xdr:rowOff>
    </xdr:from>
    <xdr:to>
      <xdr:col>1</xdr:col>
      <xdr:colOff>2877910</xdr:colOff>
      <xdr:row>5</xdr:row>
      <xdr:rowOff>1642382</xdr:rowOff>
    </xdr:to>
    <xdr:pic>
      <xdr:nvPicPr>
        <xdr:cNvPr id="3" name="_x860434064">
          <a:extLst>
            <a:ext uri="{FF2B5EF4-FFF2-40B4-BE49-F238E27FC236}">
              <a16:creationId xmlns:a16="http://schemas.microsoft.com/office/drawing/2014/main" id="{2861D327-19AA-424A-95F4-1F8D9A8394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03060" y="3948793"/>
          <a:ext cx="2714625" cy="15988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163285</xdr:colOff>
      <xdr:row>6</xdr:row>
      <xdr:rowOff>43543</xdr:rowOff>
    </xdr:from>
    <xdr:to>
      <xdr:col>1</xdr:col>
      <xdr:colOff>2896960</xdr:colOff>
      <xdr:row>6</xdr:row>
      <xdr:rowOff>1642382</xdr:rowOff>
    </xdr:to>
    <xdr:pic>
      <xdr:nvPicPr>
        <xdr:cNvPr id="4" name="_x860434280">
          <a:extLst>
            <a:ext uri="{FF2B5EF4-FFF2-40B4-BE49-F238E27FC236}">
              <a16:creationId xmlns:a16="http://schemas.microsoft.com/office/drawing/2014/main" id="{FB48B5B8-9E92-4D94-A7EF-9CAD3A1CEB3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03060" y="5596618"/>
          <a:ext cx="2733675" cy="15988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163285</xdr:colOff>
      <xdr:row>7</xdr:row>
      <xdr:rowOff>43543</xdr:rowOff>
    </xdr:from>
    <xdr:to>
      <xdr:col>1</xdr:col>
      <xdr:colOff>2877910</xdr:colOff>
      <xdr:row>7</xdr:row>
      <xdr:rowOff>1642382</xdr:rowOff>
    </xdr:to>
    <xdr:pic>
      <xdr:nvPicPr>
        <xdr:cNvPr id="5" name="_x860432480">
          <a:extLst>
            <a:ext uri="{FF2B5EF4-FFF2-40B4-BE49-F238E27FC236}">
              <a16:creationId xmlns:a16="http://schemas.microsoft.com/office/drawing/2014/main" id="{832D4F57-941E-492D-86F0-7CD02495446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03060" y="7244443"/>
          <a:ext cx="2714625" cy="15988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163285</xdr:colOff>
      <xdr:row>8</xdr:row>
      <xdr:rowOff>43542</xdr:rowOff>
    </xdr:from>
    <xdr:to>
      <xdr:col>1</xdr:col>
      <xdr:colOff>2877910</xdr:colOff>
      <xdr:row>8</xdr:row>
      <xdr:rowOff>1642382</xdr:rowOff>
    </xdr:to>
    <xdr:pic>
      <xdr:nvPicPr>
        <xdr:cNvPr id="6" name="_x860432552">
          <a:extLst>
            <a:ext uri="{FF2B5EF4-FFF2-40B4-BE49-F238E27FC236}">
              <a16:creationId xmlns:a16="http://schemas.microsoft.com/office/drawing/2014/main" id="{5D45FB50-9ECA-4E80-8EFD-2A97AF323F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03060" y="8892267"/>
          <a:ext cx="2714625" cy="15988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149678</xdr:colOff>
      <xdr:row>9</xdr:row>
      <xdr:rowOff>29936</xdr:rowOff>
    </xdr:from>
    <xdr:to>
      <xdr:col>1</xdr:col>
      <xdr:colOff>2873828</xdr:colOff>
      <xdr:row>9</xdr:row>
      <xdr:rowOff>1628775</xdr:rowOff>
    </xdr:to>
    <xdr:pic>
      <xdr:nvPicPr>
        <xdr:cNvPr id="7" name="_x517647784">
          <a:extLst>
            <a:ext uri="{FF2B5EF4-FFF2-40B4-BE49-F238E27FC236}">
              <a16:creationId xmlns:a16="http://schemas.microsoft.com/office/drawing/2014/main" id="{6D0D7471-9B19-43DE-9B5B-94927A5D447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89453" y="10526486"/>
          <a:ext cx="2724150" cy="15988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149678</xdr:colOff>
      <xdr:row>10</xdr:row>
      <xdr:rowOff>29936</xdr:rowOff>
    </xdr:from>
    <xdr:to>
      <xdr:col>1</xdr:col>
      <xdr:colOff>2864303</xdr:colOff>
      <xdr:row>10</xdr:row>
      <xdr:rowOff>1628775</xdr:rowOff>
    </xdr:to>
    <xdr:pic>
      <xdr:nvPicPr>
        <xdr:cNvPr id="8" name="_x735937816">
          <a:extLst>
            <a:ext uri="{FF2B5EF4-FFF2-40B4-BE49-F238E27FC236}">
              <a16:creationId xmlns:a16="http://schemas.microsoft.com/office/drawing/2014/main" id="{90882FE9-3D42-4A51-9DF7-73FC026880B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89453" y="12174311"/>
          <a:ext cx="2714625" cy="15988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149678</xdr:colOff>
      <xdr:row>11</xdr:row>
      <xdr:rowOff>29935</xdr:rowOff>
    </xdr:from>
    <xdr:to>
      <xdr:col>1</xdr:col>
      <xdr:colOff>2864303</xdr:colOff>
      <xdr:row>11</xdr:row>
      <xdr:rowOff>1628775</xdr:rowOff>
    </xdr:to>
    <xdr:pic>
      <xdr:nvPicPr>
        <xdr:cNvPr id="9" name="_x517670232">
          <a:extLst>
            <a:ext uri="{FF2B5EF4-FFF2-40B4-BE49-F238E27FC236}">
              <a16:creationId xmlns:a16="http://schemas.microsoft.com/office/drawing/2014/main" id="{701EECFD-1D41-4C93-9CB2-0705F3F4818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89453" y="13822135"/>
          <a:ext cx="2714625" cy="15988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149678</xdr:colOff>
      <xdr:row>12</xdr:row>
      <xdr:rowOff>29936</xdr:rowOff>
    </xdr:from>
    <xdr:to>
      <xdr:col>1</xdr:col>
      <xdr:colOff>2864303</xdr:colOff>
      <xdr:row>12</xdr:row>
      <xdr:rowOff>1628775</xdr:rowOff>
    </xdr:to>
    <xdr:pic>
      <xdr:nvPicPr>
        <xdr:cNvPr id="10" name="_x859439480">
          <a:extLst>
            <a:ext uri="{FF2B5EF4-FFF2-40B4-BE49-F238E27FC236}">
              <a16:creationId xmlns:a16="http://schemas.microsoft.com/office/drawing/2014/main" id="{C17AC77D-4F55-4293-8746-7B991FD2D5B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89453" y="15469961"/>
          <a:ext cx="2714625" cy="15988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149678</xdr:colOff>
      <xdr:row>13</xdr:row>
      <xdr:rowOff>29936</xdr:rowOff>
    </xdr:from>
    <xdr:to>
      <xdr:col>1</xdr:col>
      <xdr:colOff>2864303</xdr:colOff>
      <xdr:row>13</xdr:row>
      <xdr:rowOff>1628775</xdr:rowOff>
    </xdr:to>
    <xdr:pic>
      <xdr:nvPicPr>
        <xdr:cNvPr id="11" name="_x859440488">
          <a:extLst>
            <a:ext uri="{FF2B5EF4-FFF2-40B4-BE49-F238E27FC236}">
              <a16:creationId xmlns:a16="http://schemas.microsoft.com/office/drawing/2014/main" id="{50651815-A861-4A63-BC80-5EAECCC4709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89453" y="17117786"/>
          <a:ext cx="2714625" cy="15988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176893</xdr:colOff>
      <xdr:row>14</xdr:row>
      <xdr:rowOff>43543</xdr:rowOff>
    </xdr:from>
    <xdr:to>
      <xdr:col>1</xdr:col>
      <xdr:colOff>2901043</xdr:colOff>
      <xdr:row>14</xdr:row>
      <xdr:rowOff>1642382</xdr:rowOff>
    </xdr:to>
    <xdr:pic>
      <xdr:nvPicPr>
        <xdr:cNvPr id="12" name="_x517648000">
          <a:extLst>
            <a:ext uri="{FF2B5EF4-FFF2-40B4-BE49-F238E27FC236}">
              <a16:creationId xmlns:a16="http://schemas.microsoft.com/office/drawing/2014/main" id="{D2E67D42-CA9E-474F-84C5-B3C6E18A05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16668" y="18779218"/>
          <a:ext cx="2724150" cy="15988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176893</xdr:colOff>
      <xdr:row>15</xdr:row>
      <xdr:rowOff>43542</xdr:rowOff>
    </xdr:from>
    <xdr:to>
      <xdr:col>1</xdr:col>
      <xdr:colOff>2891518</xdr:colOff>
      <xdr:row>15</xdr:row>
      <xdr:rowOff>1642382</xdr:rowOff>
    </xdr:to>
    <xdr:pic>
      <xdr:nvPicPr>
        <xdr:cNvPr id="13" name="_x857221856">
          <a:extLst>
            <a:ext uri="{FF2B5EF4-FFF2-40B4-BE49-F238E27FC236}">
              <a16:creationId xmlns:a16="http://schemas.microsoft.com/office/drawing/2014/main" id="{DF5C24DE-9AF0-4B49-8285-24A995E14B6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16668" y="20427042"/>
          <a:ext cx="2714625" cy="15988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176893</xdr:colOff>
      <xdr:row>16</xdr:row>
      <xdr:rowOff>43543</xdr:rowOff>
    </xdr:from>
    <xdr:to>
      <xdr:col>1</xdr:col>
      <xdr:colOff>2891518</xdr:colOff>
      <xdr:row>16</xdr:row>
      <xdr:rowOff>1642382</xdr:rowOff>
    </xdr:to>
    <xdr:pic>
      <xdr:nvPicPr>
        <xdr:cNvPr id="14" name="_x517670952">
          <a:extLst>
            <a:ext uri="{FF2B5EF4-FFF2-40B4-BE49-F238E27FC236}">
              <a16:creationId xmlns:a16="http://schemas.microsoft.com/office/drawing/2014/main" id="{2F7B5576-DF24-446C-9AAC-48EC8D65B7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16668" y="22074868"/>
          <a:ext cx="2714625" cy="15988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176893</xdr:colOff>
      <xdr:row>17</xdr:row>
      <xdr:rowOff>43543</xdr:rowOff>
    </xdr:from>
    <xdr:to>
      <xdr:col>1</xdr:col>
      <xdr:colOff>2891518</xdr:colOff>
      <xdr:row>17</xdr:row>
      <xdr:rowOff>1642382</xdr:rowOff>
    </xdr:to>
    <xdr:pic>
      <xdr:nvPicPr>
        <xdr:cNvPr id="15" name="_x859459792">
          <a:extLst>
            <a:ext uri="{FF2B5EF4-FFF2-40B4-BE49-F238E27FC236}">
              <a16:creationId xmlns:a16="http://schemas.microsoft.com/office/drawing/2014/main" id="{D602467D-3453-42C2-A841-3C3E85AF2E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16668" y="23722693"/>
          <a:ext cx="2714625" cy="15988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176893</xdr:colOff>
      <xdr:row>18</xdr:row>
      <xdr:rowOff>29935</xdr:rowOff>
    </xdr:from>
    <xdr:to>
      <xdr:col>1</xdr:col>
      <xdr:colOff>2891518</xdr:colOff>
      <xdr:row>18</xdr:row>
      <xdr:rowOff>1628775</xdr:rowOff>
    </xdr:to>
    <xdr:pic>
      <xdr:nvPicPr>
        <xdr:cNvPr id="16" name="_x859459000">
          <a:extLst>
            <a:ext uri="{FF2B5EF4-FFF2-40B4-BE49-F238E27FC236}">
              <a16:creationId xmlns:a16="http://schemas.microsoft.com/office/drawing/2014/main" id="{4F954C57-45E6-4E95-AF29-C4FB498140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16668" y="25356910"/>
          <a:ext cx="2714625" cy="15988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176893</xdr:colOff>
      <xdr:row>19</xdr:row>
      <xdr:rowOff>43543</xdr:rowOff>
    </xdr:from>
    <xdr:to>
      <xdr:col>1</xdr:col>
      <xdr:colOff>2901043</xdr:colOff>
      <xdr:row>19</xdr:row>
      <xdr:rowOff>1642382</xdr:rowOff>
    </xdr:to>
    <xdr:pic>
      <xdr:nvPicPr>
        <xdr:cNvPr id="17" name="_x730878960">
          <a:extLst>
            <a:ext uri="{FF2B5EF4-FFF2-40B4-BE49-F238E27FC236}">
              <a16:creationId xmlns:a16="http://schemas.microsoft.com/office/drawing/2014/main" id="{91831FD0-A976-44F1-9F8B-A448568004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16668" y="27018343"/>
          <a:ext cx="2724150" cy="15988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176893</xdr:colOff>
      <xdr:row>20</xdr:row>
      <xdr:rowOff>43543</xdr:rowOff>
    </xdr:from>
    <xdr:to>
      <xdr:col>1</xdr:col>
      <xdr:colOff>2891518</xdr:colOff>
      <xdr:row>20</xdr:row>
      <xdr:rowOff>1642382</xdr:rowOff>
    </xdr:to>
    <xdr:pic>
      <xdr:nvPicPr>
        <xdr:cNvPr id="18" name="_x730873272">
          <a:extLst>
            <a:ext uri="{FF2B5EF4-FFF2-40B4-BE49-F238E27FC236}">
              <a16:creationId xmlns:a16="http://schemas.microsoft.com/office/drawing/2014/main" id="{BFF9D4A4-4DBB-4E41-9C4E-C9C1CC08866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16668" y="28666168"/>
          <a:ext cx="2714625" cy="15988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176893</xdr:colOff>
      <xdr:row>21</xdr:row>
      <xdr:rowOff>43543</xdr:rowOff>
    </xdr:from>
    <xdr:to>
      <xdr:col>1</xdr:col>
      <xdr:colOff>2891518</xdr:colOff>
      <xdr:row>21</xdr:row>
      <xdr:rowOff>1642382</xdr:rowOff>
    </xdr:to>
    <xdr:pic>
      <xdr:nvPicPr>
        <xdr:cNvPr id="19" name="_x126379488">
          <a:extLst>
            <a:ext uri="{FF2B5EF4-FFF2-40B4-BE49-F238E27FC236}">
              <a16:creationId xmlns:a16="http://schemas.microsoft.com/office/drawing/2014/main" id="{B767868A-4362-4BFE-9572-41AB2796103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16668" y="30313993"/>
          <a:ext cx="2714625" cy="15988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176893</xdr:colOff>
      <xdr:row>22</xdr:row>
      <xdr:rowOff>43542</xdr:rowOff>
    </xdr:from>
    <xdr:to>
      <xdr:col>1</xdr:col>
      <xdr:colOff>2891518</xdr:colOff>
      <xdr:row>22</xdr:row>
      <xdr:rowOff>1642382</xdr:rowOff>
    </xdr:to>
    <xdr:pic>
      <xdr:nvPicPr>
        <xdr:cNvPr id="20" name="_x860419760">
          <a:extLst>
            <a:ext uri="{FF2B5EF4-FFF2-40B4-BE49-F238E27FC236}">
              <a16:creationId xmlns:a16="http://schemas.microsoft.com/office/drawing/2014/main" id="{CDEE03D2-C7FA-4157-BC7E-333A30B36E3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16668" y="31961817"/>
          <a:ext cx="2714625" cy="15988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176893</xdr:colOff>
      <xdr:row>23</xdr:row>
      <xdr:rowOff>43543</xdr:rowOff>
    </xdr:from>
    <xdr:to>
      <xdr:col>1</xdr:col>
      <xdr:colOff>2891518</xdr:colOff>
      <xdr:row>23</xdr:row>
      <xdr:rowOff>1642382</xdr:rowOff>
    </xdr:to>
    <xdr:pic>
      <xdr:nvPicPr>
        <xdr:cNvPr id="21" name="_x860419832">
          <a:extLst>
            <a:ext uri="{FF2B5EF4-FFF2-40B4-BE49-F238E27FC236}">
              <a16:creationId xmlns:a16="http://schemas.microsoft.com/office/drawing/2014/main" id="{78DC076E-F2A0-4A04-9FFA-98E87117D79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16668" y="33609643"/>
          <a:ext cx="2714625" cy="15988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176893</xdr:colOff>
      <xdr:row>24</xdr:row>
      <xdr:rowOff>43543</xdr:rowOff>
    </xdr:from>
    <xdr:to>
      <xdr:col>1</xdr:col>
      <xdr:colOff>2901043</xdr:colOff>
      <xdr:row>24</xdr:row>
      <xdr:rowOff>1642382</xdr:rowOff>
    </xdr:to>
    <xdr:pic>
      <xdr:nvPicPr>
        <xdr:cNvPr id="22" name="_x511845496">
          <a:extLst>
            <a:ext uri="{FF2B5EF4-FFF2-40B4-BE49-F238E27FC236}">
              <a16:creationId xmlns:a16="http://schemas.microsoft.com/office/drawing/2014/main" id="{441F691B-5B83-47A1-ADB5-F805534D23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16668" y="35257468"/>
          <a:ext cx="2724150" cy="15988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176893</xdr:colOff>
      <xdr:row>25</xdr:row>
      <xdr:rowOff>43542</xdr:rowOff>
    </xdr:from>
    <xdr:to>
      <xdr:col>1</xdr:col>
      <xdr:colOff>2891518</xdr:colOff>
      <xdr:row>25</xdr:row>
      <xdr:rowOff>1642382</xdr:rowOff>
    </xdr:to>
    <xdr:pic>
      <xdr:nvPicPr>
        <xdr:cNvPr id="23" name="_x860341744">
          <a:extLst>
            <a:ext uri="{FF2B5EF4-FFF2-40B4-BE49-F238E27FC236}">
              <a16:creationId xmlns:a16="http://schemas.microsoft.com/office/drawing/2014/main" id="{DCE0C4AE-5119-44B1-B161-A796627A77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16668" y="36905292"/>
          <a:ext cx="2714625" cy="15988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176893</xdr:colOff>
      <xdr:row>26</xdr:row>
      <xdr:rowOff>43543</xdr:rowOff>
    </xdr:from>
    <xdr:to>
      <xdr:col>1</xdr:col>
      <xdr:colOff>2891518</xdr:colOff>
      <xdr:row>26</xdr:row>
      <xdr:rowOff>1642382</xdr:rowOff>
    </xdr:to>
    <xdr:pic>
      <xdr:nvPicPr>
        <xdr:cNvPr id="24" name="_x860342680">
          <a:extLst>
            <a:ext uri="{FF2B5EF4-FFF2-40B4-BE49-F238E27FC236}">
              <a16:creationId xmlns:a16="http://schemas.microsoft.com/office/drawing/2014/main" id="{FECF82D0-3F52-4678-90AC-6B8CD8F89C1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16668" y="38553118"/>
          <a:ext cx="2714625" cy="15988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176893</xdr:colOff>
      <xdr:row>27</xdr:row>
      <xdr:rowOff>43543</xdr:rowOff>
    </xdr:from>
    <xdr:to>
      <xdr:col>1</xdr:col>
      <xdr:colOff>2891518</xdr:colOff>
      <xdr:row>27</xdr:row>
      <xdr:rowOff>1642382</xdr:rowOff>
    </xdr:to>
    <xdr:pic>
      <xdr:nvPicPr>
        <xdr:cNvPr id="25" name="_x860341960">
          <a:extLst>
            <a:ext uri="{FF2B5EF4-FFF2-40B4-BE49-F238E27FC236}">
              <a16:creationId xmlns:a16="http://schemas.microsoft.com/office/drawing/2014/main" id="{BA8B99F1-D534-4AAF-BCE1-0BA9E83D8C6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16668" y="40200943"/>
          <a:ext cx="2714625" cy="15988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176893</xdr:colOff>
      <xdr:row>28</xdr:row>
      <xdr:rowOff>43543</xdr:rowOff>
    </xdr:from>
    <xdr:to>
      <xdr:col>1</xdr:col>
      <xdr:colOff>2891518</xdr:colOff>
      <xdr:row>28</xdr:row>
      <xdr:rowOff>1642382</xdr:rowOff>
    </xdr:to>
    <xdr:pic>
      <xdr:nvPicPr>
        <xdr:cNvPr id="26" name="_x860342392">
          <a:extLst>
            <a:ext uri="{FF2B5EF4-FFF2-40B4-BE49-F238E27FC236}">
              <a16:creationId xmlns:a16="http://schemas.microsoft.com/office/drawing/2014/main" id="{890CE767-CC0A-4ECC-80E9-55DA11DB04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16668" y="41848768"/>
          <a:ext cx="2714625" cy="15988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176893</xdr:colOff>
      <xdr:row>29</xdr:row>
      <xdr:rowOff>43542</xdr:rowOff>
    </xdr:from>
    <xdr:to>
      <xdr:col>1</xdr:col>
      <xdr:colOff>2901043</xdr:colOff>
      <xdr:row>29</xdr:row>
      <xdr:rowOff>1642382</xdr:rowOff>
    </xdr:to>
    <xdr:pic>
      <xdr:nvPicPr>
        <xdr:cNvPr id="27" name="_x511845496">
          <a:extLst>
            <a:ext uri="{FF2B5EF4-FFF2-40B4-BE49-F238E27FC236}">
              <a16:creationId xmlns:a16="http://schemas.microsoft.com/office/drawing/2014/main" id="{D24A56FE-0530-48AB-A8A8-800D2A438C0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16668" y="43496592"/>
          <a:ext cx="2724150" cy="15988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176893</xdr:colOff>
      <xdr:row>30</xdr:row>
      <xdr:rowOff>43543</xdr:rowOff>
    </xdr:from>
    <xdr:to>
      <xdr:col>1</xdr:col>
      <xdr:colOff>2891518</xdr:colOff>
      <xdr:row>30</xdr:row>
      <xdr:rowOff>1642382</xdr:rowOff>
    </xdr:to>
    <xdr:pic>
      <xdr:nvPicPr>
        <xdr:cNvPr id="28" name="_x859338168">
          <a:extLst>
            <a:ext uri="{FF2B5EF4-FFF2-40B4-BE49-F238E27FC236}">
              <a16:creationId xmlns:a16="http://schemas.microsoft.com/office/drawing/2014/main" id="{49A65BC6-A9B7-4D15-8840-694EB78CE24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16668" y="45144418"/>
          <a:ext cx="2714625" cy="15988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176893</xdr:colOff>
      <xdr:row>31</xdr:row>
      <xdr:rowOff>43543</xdr:rowOff>
    </xdr:from>
    <xdr:to>
      <xdr:col>1</xdr:col>
      <xdr:colOff>2891518</xdr:colOff>
      <xdr:row>31</xdr:row>
      <xdr:rowOff>1642382</xdr:rowOff>
    </xdr:to>
    <xdr:pic>
      <xdr:nvPicPr>
        <xdr:cNvPr id="29" name="_x859338096">
          <a:extLst>
            <a:ext uri="{FF2B5EF4-FFF2-40B4-BE49-F238E27FC236}">
              <a16:creationId xmlns:a16="http://schemas.microsoft.com/office/drawing/2014/main" id="{CDD88637-EFC9-484C-9A36-D065C45ECA6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16668" y="46792243"/>
          <a:ext cx="2714625" cy="15988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176893</xdr:colOff>
      <xdr:row>32</xdr:row>
      <xdr:rowOff>43542</xdr:rowOff>
    </xdr:from>
    <xdr:to>
      <xdr:col>1</xdr:col>
      <xdr:colOff>2891518</xdr:colOff>
      <xdr:row>32</xdr:row>
      <xdr:rowOff>1642382</xdr:rowOff>
    </xdr:to>
    <xdr:pic>
      <xdr:nvPicPr>
        <xdr:cNvPr id="30" name="_x859339032">
          <a:extLst>
            <a:ext uri="{FF2B5EF4-FFF2-40B4-BE49-F238E27FC236}">
              <a16:creationId xmlns:a16="http://schemas.microsoft.com/office/drawing/2014/main" id="{1CF99A1B-DCC0-4820-867E-2E64797E670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16668" y="48440067"/>
          <a:ext cx="2714625" cy="15988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176893</xdr:colOff>
      <xdr:row>33</xdr:row>
      <xdr:rowOff>43543</xdr:rowOff>
    </xdr:from>
    <xdr:to>
      <xdr:col>1</xdr:col>
      <xdr:colOff>2891518</xdr:colOff>
      <xdr:row>33</xdr:row>
      <xdr:rowOff>1642382</xdr:rowOff>
    </xdr:to>
    <xdr:pic>
      <xdr:nvPicPr>
        <xdr:cNvPr id="31" name="_x859338456">
          <a:extLst>
            <a:ext uri="{FF2B5EF4-FFF2-40B4-BE49-F238E27FC236}">
              <a16:creationId xmlns:a16="http://schemas.microsoft.com/office/drawing/2014/main" id="{3447D3B9-4BAE-4D78-93E0-392226C782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16668" y="50087893"/>
          <a:ext cx="2714625" cy="15988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163286</xdr:colOff>
      <xdr:row>34</xdr:row>
      <xdr:rowOff>29936</xdr:rowOff>
    </xdr:from>
    <xdr:to>
      <xdr:col>1</xdr:col>
      <xdr:colOff>2887436</xdr:colOff>
      <xdr:row>34</xdr:row>
      <xdr:rowOff>1628775</xdr:rowOff>
    </xdr:to>
    <xdr:pic>
      <xdr:nvPicPr>
        <xdr:cNvPr id="32" name="_x857223512">
          <a:extLst>
            <a:ext uri="{FF2B5EF4-FFF2-40B4-BE49-F238E27FC236}">
              <a16:creationId xmlns:a16="http://schemas.microsoft.com/office/drawing/2014/main" id="{981871C4-27C9-40F5-8838-C5A18A887FB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03061" y="51722111"/>
          <a:ext cx="2724150" cy="15988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163286</xdr:colOff>
      <xdr:row>35</xdr:row>
      <xdr:rowOff>43543</xdr:rowOff>
    </xdr:from>
    <xdr:to>
      <xdr:col>1</xdr:col>
      <xdr:colOff>2877911</xdr:colOff>
      <xdr:row>35</xdr:row>
      <xdr:rowOff>1642382</xdr:rowOff>
    </xdr:to>
    <xdr:pic>
      <xdr:nvPicPr>
        <xdr:cNvPr id="33" name="_x517648000">
          <a:extLst>
            <a:ext uri="{FF2B5EF4-FFF2-40B4-BE49-F238E27FC236}">
              <a16:creationId xmlns:a16="http://schemas.microsoft.com/office/drawing/2014/main" id="{6E19878A-C25A-484F-95DD-15995B267F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03061" y="53383543"/>
          <a:ext cx="2714625" cy="15988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163286</xdr:colOff>
      <xdr:row>36</xdr:row>
      <xdr:rowOff>43542</xdr:rowOff>
    </xdr:from>
    <xdr:to>
      <xdr:col>1</xdr:col>
      <xdr:colOff>2877911</xdr:colOff>
      <xdr:row>36</xdr:row>
      <xdr:rowOff>1642382</xdr:rowOff>
    </xdr:to>
    <xdr:pic>
      <xdr:nvPicPr>
        <xdr:cNvPr id="34" name="_x517647856">
          <a:extLst>
            <a:ext uri="{FF2B5EF4-FFF2-40B4-BE49-F238E27FC236}">
              <a16:creationId xmlns:a16="http://schemas.microsoft.com/office/drawing/2014/main" id="{039BA1F1-5FDC-4D88-B7C7-8821607DBC0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03061" y="55031367"/>
          <a:ext cx="2714625" cy="15988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163286</xdr:colOff>
      <xdr:row>37</xdr:row>
      <xdr:rowOff>43543</xdr:rowOff>
    </xdr:from>
    <xdr:to>
      <xdr:col>1</xdr:col>
      <xdr:colOff>2877911</xdr:colOff>
      <xdr:row>37</xdr:row>
      <xdr:rowOff>1642382</xdr:rowOff>
    </xdr:to>
    <xdr:pic>
      <xdr:nvPicPr>
        <xdr:cNvPr id="35" name="_x517670952">
          <a:extLst>
            <a:ext uri="{FF2B5EF4-FFF2-40B4-BE49-F238E27FC236}">
              <a16:creationId xmlns:a16="http://schemas.microsoft.com/office/drawing/2014/main" id="{43ADA724-A6E5-460D-997D-3BB49250A39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03061" y="56679193"/>
          <a:ext cx="2714625" cy="15988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163286</xdr:colOff>
      <xdr:row>38</xdr:row>
      <xdr:rowOff>43543</xdr:rowOff>
    </xdr:from>
    <xdr:to>
      <xdr:col>1</xdr:col>
      <xdr:colOff>2877911</xdr:colOff>
      <xdr:row>38</xdr:row>
      <xdr:rowOff>1642382</xdr:rowOff>
    </xdr:to>
    <xdr:pic>
      <xdr:nvPicPr>
        <xdr:cNvPr id="36" name="_x857222000">
          <a:extLst>
            <a:ext uri="{FF2B5EF4-FFF2-40B4-BE49-F238E27FC236}">
              <a16:creationId xmlns:a16="http://schemas.microsoft.com/office/drawing/2014/main" id="{FC8D4E7F-267C-41CD-9F4D-A2F900CF69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03061" y="58327018"/>
          <a:ext cx="2714625" cy="15988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163285</xdr:colOff>
      <xdr:row>39</xdr:row>
      <xdr:rowOff>29935</xdr:rowOff>
    </xdr:from>
    <xdr:to>
      <xdr:col>1</xdr:col>
      <xdr:colOff>2887435</xdr:colOff>
      <xdr:row>39</xdr:row>
      <xdr:rowOff>1628775</xdr:rowOff>
    </xdr:to>
    <xdr:pic>
      <xdr:nvPicPr>
        <xdr:cNvPr id="37" name="_x857221856">
          <a:extLst>
            <a:ext uri="{FF2B5EF4-FFF2-40B4-BE49-F238E27FC236}">
              <a16:creationId xmlns:a16="http://schemas.microsoft.com/office/drawing/2014/main" id="{3ECD1068-ACE2-495D-8568-EF2945FF481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03060" y="59961235"/>
          <a:ext cx="2724150" cy="15988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163285</xdr:colOff>
      <xdr:row>40</xdr:row>
      <xdr:rowOff>29936</xdr:rowOff>
    </xdr:from>
    <xdr:to>
      <xdr:col>1</xdr:col>
      <xdr:colOff>2877910</xdr:colOff>
      <xdr:row>40</xdr:row>
      <xdr:rowOff>1628775</xdr:rowOff>
    </xdr:to>
    <xdr:pic>
      <xdr:nvPicPr>
        <xdr:cNvPr id="38" name="_x517646992">
          <a:extLst>
            <a:ext uri="{FF2B5EF4-FFF2-40B4-BE49-F238E27FC236}">
              <a16:creationId xmlns:a16="http://schemas.microsoft.com/office/drawing/2014/main" id="{A9DF9A3F-C3C1-47B7-8DE1-093AAE4891C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03060" y="61609061"/>
          <a:ext cx="2714625" cy="15988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163285</xdr:colOff>
      <xdr:row>41</xdr:row>
      <xdr:rowOff>29936</xdr:rowOff>
    </xdr:from>
    <xdr:to>
      <xdr:col>1</xdr:col>
      <xdr:colOff>2877910</xdr:colOff>
      <xdr:row>41</xdr:row>
      <xdr:rowOff>1628775</xdr:rowOff>
    </xdr:to>
    <xdr:pic>
      <xdr:nvPicPr>
        <xdr:cNvPr id="39" name="_x517648000">
          <a:extLst>
            <a:ext uri="{FF2B5EF4-FFF2-40B4-BE49-F238E27FC236}">
              <a16:creationId xmlns:a16="http://schemas.microsoft.com/office/drawing/2014/main" id="{08981836-E3FB-4BEF-80C3-F9562158B8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03060" y="63256886"/>
          <a:ext cx="2714625" cy="15988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163285</xdr:colOff>
      <xdr:row>42</xdr:row>
      <xdr:rowOff>29936</xdr:rowOff>
    </xdr:from>
    <xdr:to>
      <xdr:col>1</xdr:col>
      <xdr:colOff>2877910</xdr:colOff>
      <xdr:row>42</xdr:row>
      <xdr:rowOff>1628775</xdr:rowOff>
    </xdr:to>
    <xdr:pic>
      <xdr:nvPicPr>
        <xdr:cNvPr id="80" name="_x517670952">
          <a:extLst>
            <a:ext uri="{FF2B5EF4-FFF2-40B4-BE49-F238E27FC236}">
              <a16:creationId xmlns:a16="http://schemas.microsoft.com/office/drawing/2014/main" id="{DF697BB0-7C18-474A-AA3C-74B65665F3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03060" y="64904711"/>
          <a:ext cx="2714625" cy="15988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163285</xdr:colOff>
      <xdr:row>43</xdr:row>
      <xdr:rowOff>29935</xdr:rowOff>
    </xdr:from>
    <xdr:to>
      <xdr:col>1</xdr:col>
      <xdr:colOff>2877910</xdr:colOff>
      <xdr:row>43</xdr:row>
      <xdr:rowOff>1628775</xdr:rowOff>
    </xdr:to>
    <xdr:pic>
      <xdr:nvPicPr>
        <xdr:cNvPr id="81" name="_x857223584">
          <a:extLst>
            <a:ext uri="{FF2B5EF4-FFF2-40B4-BE49-F238E27FC236}">
              <a16:creationId xmlns:a16="http://schemas.microsoft.com/office/drawing/2014/main" id="{461D8959-0B9D-4BB2-9BB8-C8F10E7EC8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03060" y="66552535"/>
          <a:ext cx="2714625" cy="15988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47"/>
  <sheetViews>
    <sheetView tabSelected="1" view="pageBreakPreview" topLeftCell="A5" zoomScale="70" zoomScaleNormal="70" zoomScaleSheetLayoutView="70" workbookViewId="0">
      <selection activeCell="Q6" sqref="Q6"/>
    </sheetView>
  </sheetViews>
  <sheetFormatPr defaultColWidth="10.375" defaultRowHeight="12"/>
  <cols>
    <col min="1" max="17" width="10.375" style="1"/>
    <col min="18" max="18" width="39.125" style="1" customWidth="1"/>
    <col min="19" max="19" width="10.375" style="2"/>
    <col min="20" max="16384" width="10.375" style="1"/>
  </cols>
  <sheetData>
    <row r="1" spans="1:20" ht="12" customHeight="1">
      <c r="A1" s="3" t="s">
        <v>0</v>
      </c>
      <c r="B1" s="3" t="s">
        <v>1</v>
      </c>
      <c r="C1" s="3" t="s">
        <v>2</v>
      </c>
    </row>
    <row r="2" spans="1:20" ht="12" customHeight="1">
      <c r="A2" s="1">
        <v>2025</v>
      </c>
      <c r="B2" s="3" t="s">
        <v>3</v>
      </c>
      <c r="C2" s="3" t="s">
        <v>4</v>
      </c>
    </row>
    <row r="3" spans="1:20" ht="12" customHeight="1"/>
    <row r="4" spans="1:20" ht="12" customHeight="1"/>
    <row r="5" spans="1:20" ht="129.75" customHeight="1">
      <c r="A5" s="4" t="s">
        <v>5</v>
      </c>
      <c r="B5" s="4" t="s">
        <v>6</v>
      </c>
      <c r="C5" s="4" t="s">
        <v>7</v>
      </c>
      <c r="D5" s="4" t="s">
        <v>8</v>
      </c>
      <c r="E5" s="4" t="s">
        <v>9</v>
      </c>
      <c r="F5" s="4" t="s">
        <v>10</v>
      </c>
      <c r="G5" s="4" t="s">
        <v>11</v>
      </c>
      <c r="H5" s="5" t="s">
        <v>12</v>
      </c>
      <c r="I5" s="4" t="s">
        <v>13</v>
      </c>
      <c r="J5" s="4" t="s">
        <v>9</v>
      </c>
      <c r="K5" s="4" t="s">
        <v>10</v>
      </c>
      <c r="L5" s="4" t="s">
        <v>14</v>
      </c>
      <c r="M5" s="4" t="s">
        <v>15</v>
      </c>
      <c r="N5" s="4" t="s">
        <v>16</v>
      </c>
      <c r="O5" s="4" t="s">
        <v>17</v>
      </c>
      <c r="P5" s="4" t="s">
        <v>18</v>
      </c>
      <c r="Q5" s="5" t="s">
        <v>19</v>
      </c>
      <c r="R5" s="4" t="s">
        <v>20</v>
      </c>
      <c r="S5" s="4" t="s">
        <v>21</v>
      </c>
      <c r="T5" s="4" t="s">
        <v>22</v>
      </c>
    </row>
    <row r="6" spans="1:20" ht="129.75" customHeight="1">
      <c r="A6" s="4">
        <v>1</v>
      </c>
      <c r="B6" s="4" t="s">
        <v>23</v>
      </c>
      <c r="C6" s="4" t="str">
        <f t="shared" ref="C6:C45" si="0">RIGHT($A$2,2)&amp;"-"&amp;$C$2&amp;"-"&amp;A6</f>
        <v>25-서초구-1</v>
      </c>
      <c r="D6" s="4" t="s">
        <v>24</v>
      </c>
      <c r="E6" s="6" t="s">
        <v>25</v>
      </c>
      <c r="F6" s="4" t="s">
        <v>24</v>
      </c>
      <c r="G6" s="6">
        <v>2</v>
      </c>
      <c r="H6" s="6" t="s">
        <v>25</v>
      </c>
      <c r="I6" s="6">
        <f t="shared" ref="I6:I45" si="1">IF(D6="양호",0,IF(D6="보통",3,IF(D6="긴급",9)))</f>
        <v>0</v>
      </c>
      <c r="J6" s="6">
        <f t="shared" ref="J6:J45" si="2">IF(E6="거북등",3,IF(RIGHT(E6,2)="균열",1,IF(E6="-",0)))</f>
        <v>0</v>
      </c>
      <c r="K6" s="6">
        <f t="shared" ref="K6:K45" si="3">IF(F6="유출",9,IF(F6="습윤",1,IF(F6="양호",0,IF(F6="건조",0))))</f>
        <v>0</v>
      </c>
      <c r="L6" s="6">
        <f t="shared" ref="L6:L45" si="4">IF(G6&lt;10,0,IF(G6&lt;30,1,IF(G6&gt;=30,2)))</f>
        <v>0</v>
      </c>
      <c r="M6" s="6">
        <f t="shared" ref="M6:M45" si="5">IF(H6="-",0,1)</f>
        <v>0</v>
      </c>
      <c r="N6" s="6">
        <f t="shared" ref="N6:N45" si="6">SUM(I6:M6)</f>
        <v>0</v>
      </c>
      <c r="O6" s="6" t="str">
        <f t="shared" ref="O6:O45" si="7">IF(N6&lt;6,"일반",IF(N6&lt;9,"우선",IF(N6&gt;=9,"긴급")))</f>
        <v>일반</v>
      </c>
      <c r="P6" s="6" t="s">
        <v>26</v>
      </c>
      <c r="Q6" s="6" t="s">
        <v>112</v>
      </c>
      <c r="R6" s="29"/>
      <c r="S6" s="7" t="s">
        <v>27</v>
      </c>
      <c r="T6" s="8"/>
    </row>
    <row r="7" spans="1:20" ht="129.75" customHeight="1">
      <c r="A7" s="6">
        <v>2</v>
      </c>
      <c r="B7" s="4" t="s">
        <v>23</v>
      </c>
      <c r="C7" s="6" t="str">
        <f t="shared" si="0"/>
        <v>25-서초구-2</v>
      </c>
      <c r="D7" s="4" t="s">
        <v>24</v>
      </c>
      <c r="E7" s="4" t="s">
        <v>28</v>
      </c>
      <c r="F7" s="4" t="s">
        <v>24</v>
      </c>
      <c r="G7" s="6">
        <v>2</v>
      </c>
      <c r="H7" s="6" t="s">
        <v>25</v>
      </c>
      <c r="I7" s="6">
        <f t="shared" si="1"/>
        <v>0</v>
      </c>
      <c r="J7" s="6">
        <f t="shared" si="2"/>
        <v>3</v>
      </c>
      <c r="K7" s="6">
        <f t="shared" si="3"/>
        <v>0</v>
      </c>
      <c r="L7" s="6">
        <f t="shared" si="4"/>
        <v>0</v>
      </c>
      <c r="M7" s="6">
        <f t="shared" si="5"/>
        <v>0</v>
      </c>
      <c r="N7" s="6">
        <f t="shared" si="6"/>
        <v>3</v>
      </c>
      <c r="O7" s="6" t="str">
        <f t="shared" si="7"/>
        <v>일반</v>
      </c>
      <c r="P7" s="6"/>
      <c r="Q7" s="6" t="s">
        <v>113</v>
      </c>
      <c r="R7" s="29"/>
      <c r="S7" s="7" t="s">
        <v>29</v>
      </c>
      <c r="T7" s="8"/>
    </row>
    <row r="8" spans="1:20" ht="129.75" customHeight="1">
      <c r="A8" s="6">
        <v>3</v>
      </c>
      <c r="B8" s="4" t="s">
        <v>23</v>
      </c>
      <c r="C8" s="6" t="str">
        <f t="shared" si="0"/>
        <v>25-서초구-3</v>
      </c>
      <c r="D8" s="4" t="s">
        <v>24</v>
      </c>
      <c r="E8" s="4" t="s">
        <v>30</v>
      </c>
      <c r="F8" s="4" t="s">
        <v>24</v>
      </c>
      <c r="G8" s="6">
        <v>2</v>
      </c>
      <c r="H8" s="6" t="s">
        <v>25</v>
      </c>
      <c r="I8" s="6">
        <f t="shared" si="1"/>
        <v>0</v>
      </c>
      <c r="J8" s="6">
        <f t="shared" si="2"/>
        <v>1</v>
      </c>
      <c r="K8" s="6">
        <f t="shared" si="3"/>
        <v>0</v>
      </c>
      <c r="L8" s="6">
        <f t="shared" si="4"/>
        <v>0</v>
      </c>
      <c r="M8" s="6">
        <f t="shared" si="5"/>
        <v>0</v>
      </c>
      <c r="N8" s="6">
        <f t="shared" si="6"/>
        <v>1</v>
      </c>
      <c r="O8" s="6" t="str">
        <f t="shared" si="7"/>
        <v>일반</v>
      </c>
      <c r="P8" s="6"/>
      <c r="Q8" s="6" t="s">
        <v>114</v>
      </c>
      <c r="R8" s="29"/>
      <c r="S8" s="7" t="s">
        <v>31</v>
      </c>
      <c r="T8" s="8"/>
    </row>
    <row r="9" spans="1:20" ht="129.75" customHeight="1">
      <c r="A9" s="6">
        <v>4</v>
      </c>
      <c r="B9" s="4" t="s">
        <v>23</v>
      </c>
      <c r="C9" s="6" t="str">
        <f t="shared" si="0"/>
        <v>25-서초구-4</v>
      </c>
      <c r="D9" s="4" t="s">
        <v>24</v>
      </c>
      <c r="E9" s="4" t="s">
        <v>28</v>
      </c>
      <c r="F9" s="4" t="s">
        <v>24</v>
      </c>
      <c r="G9" s="6">
        <v>2</v>
      </c>
      <c r="H9" s="6" t="s">
        <v>25</v>
      </c>
      <c r="I9" s="6">
        <f t="shared" si="1"/>
        <v>0</v>
      </c>
      <c r="J9" s="6">
        <f t="shared" si="2"/>
        <v>3</v>
      </c>
      <c r="K9" s="6">
        <f t="shared" si="3"/>
        <v>0</v>
      </c>
      <c r="L9" s="6">
        <f t="shared" si="4"/>
        <v>0</v>
      </c>
      <c r="M9" s="6">
        <f t="shared" si="5"/>
        <v>0</v>
      </c>
      <c r="N9" s="6">
        <f t="shared" si="6"/>
        <v>3</v>
      </c>
      <c r="O9" s="6" t="str">
        <f t="shared" si="7"/>
        <v>일반</v>
      </c>
      <c r="P9" s="6" t="s">
        <v>26</v>
      </c>
      <c r="Q9" s="6" t="s">
        <v>115</v>
      </c>
      <c r="R9" s="29"/>
      <c r="S9" s="9" t="s">
        <v>32</v>
      </c>
      <c r="T9" s="8"/>
    </row>
    <row r="10" spans="1:20" ht="129.75" customHeight="1">
      <c r="A10" s="6">
        <v>5</v>
      </c>
      <c r="B10" s="4" t="s">
        <v>23</v>
      </c>
      <c r="C10" s="6" t="str">
        <f t="shared" si="0"/>
        <v>25-서초구-5</v>
      </c>
      <c r="D10" s="4" t="s">
        <v>24</v>
      </c>
      <c r="E10" s="6" t="s">
        <v>25</v>
      </c>
      <c r="F10" s="4" t="s">
        <v>24</v>
      </c>
      <c r="G10" s="6">
        <v>2</v>
      </c>
      <c r="H10" s="6" t="s">
        <v>25</v>
      </c>
      <c r="I10" s="6">
        <f t="shared" si="1"/>
        <v>0</v>
      </c>
      <c r="J10" s="6">
        <f t="shared" si="2"/>
        <v>0</v>
      </c>
      <c r="K10" s="6">
        <f t="shared" si="3"/>
        <v>0</v>
      </c>
      <c r="L10" s="6">
        <f t="shared" si="4"/>
        <v>0</v>
      </c>
      <c r="M10" s="6">
        <f t="shared" si="5"/>
        <v>0</v>
      </c>
      <c r="N10" s="6">
        <f t="shared" si="6"/>
        <v>0</v>
      </c>
      <c r="O10" s="6" t="str">
        <f t="shared" si="7"/>
        <v>일반</v>
      </c>
      <c r="P10" s="4" t="s">
        <v>33</v>
      </c>
      <c r="Q10" s="6" t="s">
        <v>115</v>
      </c>
      <c r="R10" s="29"/>
      <c r="S10" s="9" t="s">
        <v>34</v>
      </c>
      <c r="T10" s="8"/>
    </row>
    <row r="11" spans="1:20" ht="129.75" customHeight="1">
      <c r="A11" s="6">
        <v>6</v>
      </c>
      <c r="B11" s="4" t="s">
        <v>23</v>
      </c>
      <c r="C11" s="6" t="str">
        <f t="shared" si="0"/>
        <v>25-서초구-6</v>
      </c>
      <c r="D11" s="4" t="s">
        <v>24</v>
      </c>
      <c r="E11" s="4" t="s">
        <v>28</v>
      </c>
      <c r="F11" s="4" t="s">
        <v>24</v>
      </c>
      <c r="G11" s="6">
        <v>2</v>
      </c>
      <c r="H11" s="6" t="s">
        <v>25</v>
      </c>
      <c r="I11" s="6">
        <f t="shared" si="1"/>
        <v>0</v>
      </c>
      <c r="J11" s="6">
        <f t="shared" si="2"/>
        <v>3</v>
      </c>
      <c r="K11" s="6">
        <f t="shared" si="3"/>
        <v>0</v>
      </c>
      <c r="L11" s="6">
        <f t="shared" si="4"/>
        <v>0</v>
      </c>
      <c r="M11" s="6">
        <f t="shared" si="5"/>
        <v>0</v>
      </c>
      <c r="N11" s="6">
        <f t="shared" si="6"/>
        <v>3</v>
      </c>
      <c r="O11" s="6" t="str">
        <f t="shared" si="7"/>
        <v>일반</v>
      </c>
      <c r="P11" s="6" t="s">
        <v>26</v>
      </c>
      <c r="Q11" s="6" t="s">
        <v>116</v>
      </c>
      <c r="R11" s="29"/>
      <c r="S11" s="7" t="s">
        <v>35</v>
      </c>
      <c r="T11" s="8"/>
    </row>
    <row r="12" spans="1:20" ht="129.75" customHeight="1">
      <c r="A12" s="6">
        <v>7</v>
      </c>
      <c r="B12" s="4" t="s">
        <v>23</v>
      </c>
      <c r="C12" s="6" t="str">
        <f t="shared" si="0"/>
        <v>25-서초구-7</v>
      </c>
      <c r="D12" s="4" t="s">
        <v>24</v>
      </c>
      <c r="E12" s="4" t="s">
        <v>28</v>
      </c>
      <c r="F12" s="4" t="s">
        <v>24</v>
      </c>
      <c r="G12" s="6">
        <v>2</v>
      </c>
      <c r="H12" s="6" t="s">
        <v>25</v>
      </c>
      <c r="I12" s="6">
        <f t="shared" si="1"/>
        <v>0</v>
      </c>
      <c r="J12" s="6">
        <f t="shared" si="2"/>
        <v>3</v>
      </c>
      <c r="K12" s="6">
        <f t="shared" si="3"/>
        <v>0</v>
      </c>
      <c r="L12" s="6">
        <f t="shared" si="4"/>
        <v>0</v>
      </c>
      <c r="M12" s="6">
        <f t="shared" si="5"/>
        <v>0</v>
      </c>
      <c r="N12" s="6">
        <f t="shared" si="6"/>
        <v>3</v>
      </c>
      <c r="O12" s="6" t="str">
        <f t="shared" si="7"/>
        <v>일반</v>
      </c>
      <c r="P12" s="6" t="s">
        <v>26</v>
      </c>
      <c r="Q12" s="10" t="s">
        <v>116</v>
      </c>
      <c r="R12" s="29"/>
      <c r="S12" s="7" t="s">
        <v>36</v>
      </c>
      <c r="T12" s="8"/>
    </row>
    <row r="13" spans="1:20" ht="129.75" customHeight="1">
      <c r="A13" s="6">
        <v>8</v>
      </c>
      <c r="B13" s="4" t="s">
        <v>23</v>
      </c>
      <c r="C13" s="6" t="str">
        <f t="shared" si="0"/>
        <v>25-서초구-8</v>
      </c>
      <c r="D13" s="4" t="s">
        <v>24</v>
      </c>
      <c r="E13" s="4" t="s">
        <v>28</v>
      </c>
      <c r="F13" s="4" t="s">
        <v>24</v>
      </c>
      <c r="G13" s="6">
        <v>2</v>
      </c>
      <c r="H13" s="6" t="s">
        <v>25</v>
      </c>
      <c r="I13" s="6">
        <f t="shared" si="1"/>
        <v>0</v>
      </c>
      <c r="J13" s="6">
        <f t="shared" si="2"/>
        <v>3</v>
      </c>
      <c r="K13" s="6">
        <f t="shared" si="3"/>
        <v>0</v>
      </c>
      <c r="L13" s="6">
        <f t="shared" si="4"/>
        <v>0</v>
      </c>
      <c r="M13" s="6">
        <f t="shared" si="5"/>
        <v>0</v>
      </c>
      <c r="N13" s="6">
        <f t="shared" si="6"/>
        <v>3</v>
      </c>
      <c r="O13" s="6" t="str">
        <f t="shared" si="7"/>
        <v>일반</v>
      </c>
      <c r="P13" s="4" t="s">
        <v>37</v>
      </c>
      <c r="Q13" s="6" t="s">
        <v>117</v>
      </c>
      <c r="R13" s="29"/>
      <c r="S13" s="7" t="s">
        <v>38</v>
      </c>
      <c r="T13" s="8"/>
    </row>
    <row r="14" spans="1:20" ht="129.75" customHeight="1">
      <c r="A14" s="6">
        <v>9</v>
      </c>
      <c r="B14" s="4" t="s">
        <v>23</v>
      </c>
      <c r="C14" s="6" t="str">
        <f t="shared" si="0"/>
        <v>25-서초구-9</v>
      </c>
      <c r="D14" s="4" t="s">
        <v>24</v>
      </c>
      <c r="E14" s="4" t="s">
        <v>28</v>
      </c>
      <c r="F14" s="4" t="s">
        <v>24</v>
      </c>
      <c r="G14" s="6">
        <v>2</v>
      </c>
      <c r="H14" s="6" t="s">
        <v>25</v>
      </c>
      <c r="I14" s="6">
        <f t="shared" si="1"/>
        <v>0</v>
      </c>
      <c r="J14" s="6">
        <f t="shared" si="2"/>
        <v>3</v>
      </c>
      <c r="K14" s="6">
        <f t="shared" si="3"/>
        <v>0</v>
      </c>
      <c r="L14" s="6">
        <f t="shared" si="4"/>
        <v>0</v>
      </c>
      <c r="M14" s="6">
        <f t="shared" si="5"/>
        <v>0</v>
      </c>
      <c r="N14" s="6">
        <f t="shared" si="6"/>
        <v>3</v>
      </c>
      <c r="O14" s="6" t="str">
        <f t="shared" si="7"/>
        <v>일반</v>
      </c>
      <c r="P14" s="6" t="s">
        <v>26</v>
      </c>
      <c r="Q14" s="6" t="s">
        <v>118</v>
      </c>
      <c r="R14" s="29"/>
      <c r="S14" s="7" t="s">
        <v>39</v>
      </c>
      <c r="T14" s="8"/>
    </row>
    <row r="15" spans="1:20" ht="129.75" customHeight="1">
      <c r="A15" s="6">
        <v>10</v>
      </c>
      <c r="B15" s="4" t="s">
        <v>23</v>
      </c>
      <c r="C15" s="6" t="str">
        <f t="shared" si="0"/>
        <v>25-서초구-10</v>
      </c>
      <c r="D15" s="4" t="s">
        <v>24</v>
      </c>
      <c r="E15" s="4" t="s">
        <v>28</v>
      </c>
      <c r="F15" s="4" t="s">
        <v>24</v>
      </c>
      <c r="G15" s="6">
        <v>2</v>
      </c>
      <c r="H15" s="6" t="s">
        <v>25</v>
      </c>
      <c r="I15" s="6">
        <f t="shared" si="1"/>
        <v>0</v>
      </c>
      <c r="J15" s="6">
        <f t="shared" si="2"/>
        <v>3</v>
      </c>
      <c r="K15" s="6">
        <f t="shared" si="3"/>
        <v>0</v>
      </c>
      <c r="L15" s="6">
        <f t="shared" si="4"/>
        <v>0</v>
      </c>
      <c r="M15" s="6">
        <f t="shared" si="5"/>
        <v>0</v>
      </c>
      <c r="N15" s="6">
        <f t="shared" si="6"/>
        <v>3</v>
      </c>
      <c r="O15" s="6" t="str">
        <f t="shared" si="7"/>
        <v>일반</v>
      </c>
      <c r="P15" s="6"/>
      <c r="Q15" s="6" t="s">
        <v>119</v>
      </c>
      <c r="R15" s="29"/>
      <c r="S15" s="7" t="s">
        <v>40</v>
      </c>
      <c r="T15" s="8"/>
    </row>
    <row r="16" spans="1:20" ht="129.75" customHeight="1">
      <c r="A16" s="6">
        <v>11</v>
      </c>
      <c r="B16" s="4" t="s">
        <v>23</v>
      </c>
      <c r="C16" s="6" t="str">
        <f t="shared" si="0"/>
        <v>25-서초구-11</v>
      </c>
      <c r="D16" s="4" t="s">
        <v>24</v>
      </c>
      <c r="E16" s="4" t="s">
        <v>28</v>
      </c>
      <c r="F16" s="4" t="s">
        <v>24</v>
      </c>
      <c r="G16" s="6">
        <v>2</v>
      </c>
      <c r="H16" s="6" t="s">
        <v>25</v>
      </c>
      <c r="I16" s="6">
        <f t="shared" si="1"/>
        <v>0</v>
      </c>
      <c r="J16" s="6">
        <f t="shared" si="2"/>
        <v>3</v>
      </c>
      <c r="K16" s="6">
        <f t="shared" si="3"/>
        <v>0</v>
      </c>
      <c r="L16" s="6">
        <f t="shared" si="4"/>
        <v>0</v>
      </c>
      <c r="M16" s="6">
        <f t="shared" si="5"/>
        <v>0</v>
      </c>
      <c r="N16" s="6">
        <f t="shared" si="6"/>
        <v>3</v>
      </c>
      <c r="O16" s="6" t="str">
        <f t="shared" si="7"/>
        <v>일반</v>
      </c>
      <c r="P16" s="6" t="s">
        <v>26</v>
      </c>
      <c r="Q16" s="6" t="s">
        <v>120</v>
      </c>
      <c r="R16" s="29"/>
      <c r="S16" s="7" t="s">
        <v>41</v>
      </c>
      <c r="T16" s="8"/>
    </row>
    <row r="17" spans="1:20" ht="129.75" customHeight="1">
      <c r="A17" s="6">
        <v>12</v>
      </c>
      <c r="B17" s="4" t="s">
        <v>23</v>
      </c>
      <c r="C17" s="6" t="str">
        <f t="shared" si="0"/>
        <v>25-서초구-12</v>
      </c>
      <c r="D17" s="4" t="s">
        <v>24</v>
      </c>
      <c r="E17" s="4" t="s">
        <v>28</v>
      </c>
      <c r="F17" s="4" t="s">
        <v>24</v>
      </c>
      <c r="G17" s="6">
        <v>2</v>
      </c>
      <c r="H17" s="6" t="s">
        <v>25</v>
      </c>
      <c r="I17" s="6">
        <f t="shared" si="1"/>
        <v>0</v>
      </c>
      <c r="J17" s="6">
        <f t="shared" si="2"/>
        <v>3</v>
      </c>
      <c r="K17" s="6">
        <f t="shared" si="3"/>
        <v>0</v>
      </c>
      <c r="L17" s="6">
        <f t="shared" si="4"/>
        <v>0</v>
      </c>
      <c r="M17" s="6">
        <f t="shared" si="5"/>
        <v>0</v>
      </c>
      <c r="N17" s="6">
        <f t="shared" si="6"/>
        <v>3</v>
      </c>
      <c r="O17" s="6" t="str">
        <f t="shared" si="7"/>
        <v>일반</v>
      </c>
      <c r="P17" s="6" t="s">
        <v>26</v>
      </c>
      <c r="Q17" s="6" t="s">
        <v>121</v>
      </c>
      <c r="R17" s="29"/>
      <c r="S17" s="9" t="s">
        <v>42</v>
      </c>
      <c r="T17" s="8"/>
    </row>
    <row r="18" spans="1:20" ht="129.75" customHeight="1">
      <c r="A18" s="6">
        <v>13</v>
      </c>
      <c r="B18" s="4" t="s">
        <v>23</v>
      </c>
      <c r="C18" s="6" t="str">
        <f t="shared" si="0"/>
        <v>25-서초구-13</v>
      </c>
      <c r="D18" s="4" t="s">
        <v>24</v>
      </c>
      <c r="E18" s="4" t="s">
        <v>28</v>
      </c>
      <c r="F18" s="4" t="s">
        <v>24</v>
      </c>
      <c r="G18" s="6">
        <v>2</v>
      </c>
      <c r="H18" s="6" t="s">
        <v>25</v>
      </c>
      <c r="I18" s="6">
        <f t="shared" si="1"/>
        <v>0</v>
      </c>
      <c r="J18" s="6">
        <f t="shared" si="2"/>
        <v>3</v>
      </c>
      <c r="K18" s="6">
        <f t="shared" si="3"/>
        <v>0</v>
      </c>
      <c r="L18" s="6">
        <f t="shared" si="4"/>
        <v>0</v>
      </c>
      <c r="M18" s="6">
        <f t="shared" si="5"/>
        <v>0</v>
      </c>
      <c r="N18" s="6">
        <f t="shared" si="6"/>
        <v>3</v>
      </c>
      <c r="O18" s="6" t="str">
        <f t="shared" si="7"/>
        <v>일반</v>
      </c>
      <c r="P18" s="6" t="s">
        <v>26</v>
      </c>
      <c r="Q18" s="6" t="s">
        <v>122</v>
      </c>
      <c r="R18" s="29"/>
      <c r="S18" s="7" t="s">
        <v>43</v>
      </c>
      <c r="T18" s="8"/>
    </row>
    <row r="19" spans="1:20" ht="129.75" customHeight="1">
      <c r="A19" s="6">
        <v>14</v>
      </c>
      <c r="B19" s="4" t="s">
        <v>23</v>
      </c>
      <c r="C19" s="6" t="str">
        <f t="shared" si="0"/>
        <v>25-서초구-14</v>
      </c>
      <c r="D19" s="4" t="s">
        <v>24</v>
      </c>
      <c r="E19" s="6" t="s">
        <v>25</v>
      </c>
      <c r="F19" s="4" t="s">
        <v>24</v>
      </c>
      <c r="G19" s="6">
        <v>2</v>
      </c>
      <c r="H19" s="6" t="s">
        <v>25</v>
      </c>
      <c r="I19" s="6">
        <f t="shared" si="1"/>
        <v>0</v>
      </c>
      <c r="J19" s="6">
        <f t="shared" si="2"/>
        <v>0</v>
      </c>
      <c r="K19" s="6">
        <f t="shared" si="3"/>
        <v>0</v>
      </c>
      <c r="L19" s="6">
        <f t="shared" si="4"/>
        <v>0</v>
      </c>
      <c r="M19" s="6">
        <f t="shared" si="5"/>
        <v>0</v>
      </c>
      <c r="N19" s="6">
        <f t="shared" si="6"/>
        <v>0</v>
      </c>
      <c r="O19" s="6" t="str">
        <f t="shared" si="7"/>
        <v>일반</v>
      </c>
      <c r="P19" s="4" t="s">
        <v>44</v>
      </c>
      <c r="Q19" s="10" t="s">
        <v>122</v>
      </c>
      <c r="R19" s="29"/>
      <c r="S19" s="7" t="s">
        <v>45</v>
      </c>
      <c r="T19" s="8"/>
    </row>
    <row r="20" spans="1:20" ht="129.75" customHeight="1">
      <c r="A20" s="6">
        <v>15</v>
      </c>
      <c r="B20" s="4" t="s">
        <v>23</v>
      </c>
      <c r="C20" s="6" t="str">
        <f t="shared" si="0"/>
        <v>25-서초구-15</v>
      </c>
      <c r="D20" s="4" t="s">
        <v>24</v>
      </c>
      <c r="E20" s="4" t="s">
        <v>28</v>
      </c>
      <c r="F20" s="4" t="s">
        <v>24</v>
      </c>
      <c r="G20" s="6">
        <v>2</v>
      </c>
      <c r="H20" s="6" t="s">
        <v>25</v>
      </c>
      <c r="I20" s="6">
        <f t="shared" si="1"/>
        <v>0</v>
      </c>
      <c r="J20" s="6">
        <f t="shared" si="2"/>
        <v>3</v>
      </c>
      <c r="K20" s="6">
        <f t="shared" si="3"/>
        <v>0</v>
      </c>
      <c r="L20" s="6">
        <f t="shared" si="4"/>
        <v>0</v>
      </c>
      <c r="M20" s="6">
        <f t="shared" si="5"/>
        <v>0</v>
      </c>
      <c r="N20" s="6">
        <f t="shared" si="6"/>
        <v>3</v>
      </c>
      <c r="O20" s="6" t="str">
        <f t="shared" si="7"/>
        <v>일반</v>
      </c>
      <c r="P20" s="6"/>
      <c r="Q20" s="6" t="s">
        <v>123</v>
      </c>
      <c r="R20" s="29"/>
      <c r="S20" s="9" t="s">
        <v>46</v>
      </c>
      <c r="T20" s="8"/>
    </row>
    <row r="21" spans="1:20" ht="129.75" customHeight="1">
      <c r="A21" s="6">
        <v>16</v>
      </c>
      <c r="B21" s="4" t="s">
        <v>23</v>
      </c>
      <c r="C21" s="6" t="str">
        <f t="shared" si="0"/>
        <v>25-서초구-16</v>
      </c>
      <c r="D21" s="4" t="s">
        <v>24</v>
      </c>
      <c r="E21" s="4" t="s">
        <v>28</v>
      </c>
      <c r="F21" s="4" t="s">
        <v>24</v>
      </c>
      <c r="G21" s="6">
        <v>2</v>
      </c>
      <c r="H21" s="6" t="s">
        <v>25</v>
      </c>
      <c r="I21" s="6">
        <f t="shared" si="1"/>
        <v>0</v>
      </c>
      <c r="J21" s="6">
        <f t="shared" si="2"/>
        <v>3</v>
      </c>
      <c r="K21" s="6">
        <f t="shared" si="3"/>
        <v>0</v>
      </c>
      <c r="L21" s="6">
        <f t="shared" si="4"/>
        <v>0</v>
      </c>
      <c r="M21" s="6">
        <f t="shared" si="5"/>
        <v>0</v>
      </c>
      <c r="N21" s="6">
        <f t="shared" si="6"/>
        <v>3</v>
      </c>
      <c r="O21" s="6" t="str">
        <f t="shared" si="7"/>
        <v>일반</v>
      </c>
      <c r="P21" s="6"/>
      <c r="Q21" s="6" t="s">
        <v>124</v>
      </c>
      <c r="R21" s="29"/>
      <c r="S21" s="9" t="s">
        <v>47</v>
      </c>
      <c r="T21" s="8"/>
    </row>
    <row r="22" spans="1:20" ht="129.75" customHeight="1">
      <c r="A22" s="6">
        <v>17</v>
      </c>
      <c r="B22" s="4" t="s">
        <v>23</v>
      </c>
      <c r="C22" s="6" t="str">
        <f t="shared" si="0"/>
        <v>25-서초구-17</v>
      </c>
      <c r="D22" s="4" t="s">
        <v>24</v>
      </c>
      <c r="E22" s="4" t="s">
        <v>28</v>
      </c>
      <c r="F22" s="4" t="s">
        <v>24</v>
      </c>
      <c r="G22" s="6">
        <v>2</v>
      </c>
      <c r="H22" s="6" t="s">
        <v>25</v>
      </c>
      <c r="I22" s="6">
        <f t="shared" si="1"/>
        <v>0</v>
      </c>
      <c r="J22" s="6">
        <f t="shared" si="2"/>
        <v>3</v>
      </c>
      <c r="K22" s="6">
        <f t="shared" si="3"/>
        <v>0</v>
      </c>
      <c r="L22" s="6">
        <f t="shared" si="4"/>
        <v>0</v>
      </c>
      <c r="M22" s="6">
        <f t="shared" si="5"/>
        <v>0</v>
      </c>
      <c r="N22" s="6">
        <f t="shared" si="6"/>
        <v>3</v>
      </c>
      <c r="O22" s="6" t="str">
        <f t="shared" si="7"/>
        <v>일반</v>
      </c>
      <c r="P22" s="6" t="s">
        <v>26</v>
      </c>
      <c r="Q22" s="6" t="s">
        <v>125</v>
      </c>
      <c r="R22" s="29"/>
      <c r="S22" s="7" t="s">
        <v>48</v>
      </c>
      <c r="T22" s="8"/>
    </row>
    <row r="23" spans="1:20" ht="129.75" customHeight="1">
      <c r="A23" s="6">
        <v>18</v>
      </c>
      <c r="B23" s="4" t="s">
        <v>23</v>
      </c>
      <c r="C23" s="6" t="str">
        <f t="shared" si="0"/>
        <v>25-서초구-18</v>
      </c>
      <c r="D23" s="4" t="s">
        <v>24</v>
      </c>
      <c r="E23" s="4" t="s">
        <v>28</v>
      </c>
      <c r="F23" s="4" t="s">
        <v>24</v>
      </c>
      <c r="G23" s="6">
        <v>2</v>
      </c>
      <c r="H23" s="6" t="s">
        <v>25</v>
      </c>
      <c r="I23" s="6">
        <f t="shared" si="1"/>
        <v>0</v>
      </c>
      <c r="J23" s="6">
        <f t="shared" si="2"/>
        <v>3</v>
      </c>
      <c r="K23" s="6">
        <f t="shared" si="3"/>
        <v>0</v>
      </c>
      <c r="L23" s="6">
        <f t="shared" si="4"/>
        <v>0</v>
      </c>
      <c r="M23" s="6">
        <f t="shared" si="5"/>
        <v>0</v>
      </c>
      <c r="N23" s="6">
        <f t="shared" si="6"/>
        <v>3</v>
      </c>
      <c r="O23" s="6" t="str">
        <f t="shared" si="7"/>
        <v>일반</v>
      </c>
      <c r="P23" s="6"/>
      <c r="Q23" s="6" t="s">
        <v>127</v>
      </c>
      <c r="R23" s="29"/>
      <c r="S23" s="7" t="s">
        <v>49</v>
      </c>
      <c r="T23" s="8"/>
    </row>
    <row r="24" spans="1:20" ht="129.75" customHeight="1">
      <c r="A24" s="6">
        <v>19</v>
      </c>
      <c r="B24" s="4" t="s">
        <v>23</v>
      </c>
      <c r="C24" s="6" t="str">
        <f t="shared" si="0"/>
        <v>25-서초구-19</v>
      </c>
      <c r="D24" s="4" t="s">
        <v>24</v>
      </c>
      <c r="E24" s="4" t="s">
        <v>28</v>
      </c>
      <c r="F24" s="4" t="s">
        <v>24</v>
      </c>
      <c r="G24" s="6">
        <v>2</v>
      </c>
      <c r="H24" s="6" t="s">
        <v>25</v>
      </c>
      <c r="I24" s="6">
        <f t="shared" si="1"/>
        <v>0</v>
      </c>
      <c r="J24" s="6">
        <f t="shared" si="2"/>
        <v>3</v>
      </c>
      <c r="K24" s="6">
        <f t="shared" si="3"/>
        <v>0</v>
      </c>
      <c r="L24" s="6">
        <f t="shared" si="4"/>
        <v>0</v>
      </c>
      <c r="M24" s="6">
        <f t="shared" si="5"/>
        <v>0</v>
      </c>
      <c r="N24" s="6">
        <f t="shared" si="6"/>
        <v>3</v>
      </c>
      <c r="O24" s="6" t="str">
        <f t="shared" si="7"/>
        <v>일반</v>
      </c>
      <c r="P24" s="6"/>
      <c r="Q24" s="6" t="s">
        <v>128</v>
      </c>
      <c r="R24" s="29"/>
      <c r="S24" s="7" t="s">
        <v>50</v>
      </c>
      <c r="T24" s="8"/>
    </row>
    <row r="25" spans="1:20" ht="129.75" customHeight="1">
      <c r="A25" s="6">
        <v>20</v>
      </c>
      <c r="B25" s="4" t="s">
        <v>23</v>
      </c>
      <c r="C25" s="6" t="str">
        <f t="shared" si="0"/>
        <v>25-서초구-20</v>
      </c>
      <c r="D25" s="4" t="s">
        <v>24</v>
      </c>
      <c r="E25" s="4" t="s">
        <v>51</v>
      </c>
      <c r="F25" s="4" t="s">
        <v>24</v>
      </c>
      <c r="G25" s="6">
        <v>2</v>
      </c>
      <c r="H25" s="6" t="s">
        <v>25</v>
      </c>
      <c r="I25" s="6">
        <f t="shared" si="1"/>
        <v>0</v>
      </c>
      <c r="J25" s="6">
        <f t="shared" si="2"/>
        <v>1</v>
      </c>
      <c r="K25" s="6">
        <f t="shared" si="3"/>
        <v>0</v>
      </c>
      <c r="L25" s="6">
        <f t="shared" si="4"/>
        <v>0</v>
      </c>
      <c r="M25" s="6">
        <f t="shared" si="5"/>
        <v>0</v>
      </c>
      <c r="N25" s="6">
        <f t="shared" si="6"/>
        <v>1</v>
      </c>
      <c r="O25" s="6" t="str">
        <f t="shared" si="7"/>
        <v>일반</v>
      </c>
      <c r="P25" s="6"/>
      <c r="Q25" s="6" t="s">
        <v>126</v>
      </c>
      <c r="R25" s="29"/>
      <c r="S25" s="7" t="s">
        <v>52</v>
      </c>
      <c r="T25" s="8"/>
    </row>
    <row r="26" spans="1:20" ht="129.75" customHeight="1">
      <c r="A26" s="6">
        <v>21</v>
      </c>
      <c r="B26" s="4" t="s">
        <v>23</v>
      </c>
      <c r="C26" s="6" t="str">
        <f t="shared" si="0"/>
        <v>25-서초구-21</v>
      </c>
      <c r="D26" s="4" t="s">
        <v>24</v>
      </c>
      <c r="E26" s="4" t="s">
        <v>28</v>
      </c>
      <c r="F26" s="4" t="s">
        <v>24</v>
      </c>
      <c r="G26" s="6">
        <v>2</v>
      </c>
      <c r="H26" s="6" t="s">
        <v>25</v>
      </c>
      <c r="I26" s="6">
        <f t="shared" si="1"/>
        <v>0</v>
      </c>
      <c r="J26" s="6">
        <f t="shared" si="2"/>
        <v>3</v>
      </c>
      <c r="K26" s="6">
        <f t="shared" si="3"/>
        <v>0</v>
      </c>
      <c r="L26" s="6">
        <f t="shared" si="4"/>
        <v>0</v>
      </c>
      <c r="M26" s="6">
        <f t="shared" si="5"/>
        <v>0</v>
      </c>
      <c r="N26" s="6">
        <f t="shared" si="6"/>
        <v>3</v>
      </c>
      <c r="O26" s="6" t="str">
        <f t="shared" si="7"/>
        <v>일반</v>
      </c>
      <c r="P26" s="6"/>
      <c r="Q26" s="6" t="s">
        <v>129</v>
      </c>
      <c r="R26" s="29"/>
      <c r="S26" s="7" t="s">
        <v>53</v>
      </c>
      <c r="T26" s="8"/>
    </row>
    <row r="27" spans="1:20" ht="129.75" customHeight="1">
      <c r="A27" s="6">
        <v>22</v>
      </c>
      <c r="B27" s="4" t="s">
        <v>23</v>
      </c>
      <c r="C27" s="6" t="str">
        <f t="shared" si="0"/>
        <v>25-서초구-22</v>
      </c>
      <c r="D27" s="4" t="s">
        <v>24</v>
      </c>
      <c r="E27" s="4" t="s">
        <v>28</v>
      </c>
      <c r="F27" s="4" t="s">
        <v>24</v>
      </c>
      <c r="G27" s="6">
        <v>2</v>
      </c>
      <c r="H27" s="6" t="s">
        <v>25</v>
      </c>
      <c r="I27" s="6">
        <f t="shared" si="1"/>
        <v>0</v>
      </c>
      <c r="J27" s="6">
        <f t="shared" si="2"/>
        <v>3</v>
      </c>
      <c r="K27" s="6">
        <f t="shared" si="3"/>
        <v>0</v>
      </c>
      <c r="L27" s="6">
        <f t="shared" si="4"/>
        <v>0</v>
      </c>
      <c r="M27" s="6">
        <f t="shared" si="5"/>
        <v>0</v>
      </c>
      <c r="N27" s="6">
        <f t="shared" si="6"/>
        <v>3</v>
      </c>
      <c r="O27" s="6" t="str">
        <f t="shared" si="7"/>
        <v>일반</v>
      </c>
      <c r="P27" s="6"/>
      <c r="Q27" s="6" t="s">
        <v>130</v>
      </c>
      <c r="R27" s="29"/>
      <c r="S27" s="7" t="s">
        <v>54</v>
      </c>
      <c r="T27" s="8"/>
    </row>
    <row r="28" spans="1:20" ht="129.75" customHeight="1">
      <c r="A28" s="6">
        <v>23</v>
      </c>
      <c r="B28" s="4" t="s">
        <v>23</v>
      </c>
      <c r="C28" s="6" t="str">
        <f t="shared" si="0"/>
        <v>25-서초구-23</v>
      </c>
      <c r="D28" s="4" t="s">
        <v>24</v>
      </c>
      <c r="E28" s="6" t="s">
        <v>25</v>
      </c>
      <c r="F28" s="4" t="s">
        <v>24</v>
      </c>
      <c r="G28" s="6">
        <v>2</v>
      </c>
      <c r="H28" s="6" t="s">
        <v>25</v>
      </c>
      <c r="I28" s="6">
        <f t="shared" si="1"/>
        <v>0</v>
      </c>
      <c r="J28" s="6">
        <f t="shared" si="2"/>
        <v>0</v>
      </c>
      <c r="K28" s="6">
        <f t="shared" si="3"/>
        <v>0</v>
      </c>
      <c r="L28" s="6">
        <f t="shared" si="4"/>
        <v>0</v>
      </c>
      <c r="M28" s="6">
        <f t="shared" si="5"/>
        <v>0</v>
      </c>
      <c r="N28" s="6">
        <f t="shared" si="6"/>
        <v>0</v>
      </c>
      <c r="O28" s="6" t="str">
        <f t="shared" si="7"/>
        <v>일반</v>
      </c>
      <c r="P28" s="4" t="s">
        <v>33</v>
      </c>
      <c r="Q28" s="6" t="s">
        <v>131</v>
      </c>
      <c r="R28" s="29"/>
      <c r="S28" s="7" t="s">
        <v>55</v>
      </c>
      <c r="T28" s="8"/>
    </row>
    <row r="29" spans="1:20" ht="129.75" customHeight="1">
      <c r="A29" s="6">
        <v>24</v>
      </c>
      <c r="B29" s="4" t="s">
        <v>23</v>
      </c>
      <c r="C29" s="6" t="str">
        <f t="shared" si="0"/>
        <v>25-서초구-24</v>
      </c>
      <c r="D29" s="4" t="s">
        <v>24</v>
      </c>
      <c r="E29" s="4" t="s">
        <v>28</v>
      </c>
      <c r="F29" s="4" t="s">
        <v>24</v>
      </c>
      <c r="G29" s="6">
        <v>2</v>
      </c>
      <c r="H29" s="6" t="s">
        <v>25</v>
      </c>
      <c r="I29" s="6">
        <f t="shared" si="1"/>
        <v>0</v>
      </c>
      <c r="J29" s="6">
        <f t="shared" si="2"/>
        <v>3</v>
      </c>
      <c r="K29" s="6">
        <f t="shared" si="3"/>
        <v>0</v>
      </c>
      <c r="L29" s="6">
        <f t="shared" si="4"/>
        <v>0</v>
      </c>
      <c r="M29" s="6">
        <f t="shared" si="5"/>
        <v>0</v>
      </c>
      <c r="N29" s="6">
        <f t="shared" si="6"/>
        <v>3</v>
      </c>
      <c r="O29" s="6" t="str">
        <f t="shared" si="7"/>
        <v>일반</v>
      </c>
      <c r="P29" s="6"/>
      <c r="Q29" s="6" t="s">
        <v>132</v>
      </c>
      <c r="R29" s="29"/>
      <c r="S29" s="7" t="s">
        <v>56</v>
      </c>
      <c r="T29" s="8"/>
    </row>
    <row r="30" spans="1:20" ht="129.75" customHeight="1">
      <c r="A30" s="6">
        <v>25</v>
      </c>
      <c r="B30" s="4" t="s">
        <v>23</v>
      </c>
      <c r="C30" s="6" t="str">
        <f t="shared" si="0"/>
        <v>25-서초구-25</v>
      </c>
      <c r="D30" s="4" t="s">
        <v>24</v>
      </c>
      <c r="E30" s="4" t="s">
        <v>28</v>
      </c>
      <c r="F30" s="4" t="s">
        <v>24</v>
      </c>
      <c r="G30" s="6">
        <v>2</v>
      </c>
      <c r="H30" s="6" t="s">
        <v>25</v>
      </c>
      <c r="I30" s="6">
        <f t="shared" si="1"/>
        <v>0</v>
      </c>
      <c r="J30" s="6">
        <f t="shared" si="2"/>
        <v>3</v>
      </c>
      <c r="K30" s="6">
        <f t="shared" si="3"/>
        <v>0</v>
      </c>
      <c r="L30" s="6">
        <f t="shared" si="4"/>
        <v>0</v>
      </c>
      <c r="M30" s="6">
        <f t="shared" si="5"/>
        <v>0</v>
      </c>
      <c r="N30" s="6">
        <f t="shared" si="6"/>
        <v>3</v>
      </c>
      <c r="O30" s="6" t="str">
        <f t="shared" si="7"/>
        <v>일반</v>
      </c>
      <c r="P30" s="6"/>
      <c r="Q30" s="10" t="s">
        <v>132</v>
      </c>
      <c r="R30" s="29"/>
      <c r="S30" s="7" t="s">
        <v>57</v>
      </c>
      <c r="T30" s="8"/>
    </row>
    <row r="31" spans="1:20" ht="129.75" customHeight="1">
      <c r="A31" s="6">
        <v>26</v>
      </c>
      <c r="B31" s="4" t="s">
        <v>23</v>
      </c>
      <c r="C31" s="6" t="str">
        <f t="shared" si="0"/>
        <v>25-서초구-26</v>
      </c>
      <c r="D31" s="4" t="s">
        <v>24</v>
      </c>
      <c r="E31" s="4" t="s">
        <v>28</v>
      </c>
      <c r="F31" s="4" t="s">
        <v>24</v>
      </c>
      <c r="G31" s="6">
        <v>2</v>
      </c>
      <c r="H31" s="6" t="s">
        <v>25</v>
      </c>
      <c r="I31" s="6">
        <f t="shared" si="1"/>
        <v>0</v>
      </c>
      <c r="J31" s="6">
        <f t="shared" si="2"/>
        <v>3</v>
      </c>
      <c r="K31" s="6">
        <f t="shared" si="3"/>
        <v>0</v>
      </c>
      <c r="L31" s="6">
        <f t="shared" si="4"/>
        <v>0</v>
      </c>
      <c r="M31" s="6">
        <f t="shared" si="5"/>
        <v>0</v>
      </c>
      <c r="N31" s="6">
        <f t="shared" si="6"/>
        <v>3</v>
      </c>
      <c r="O31" s="6" t="str">
        <f t="shared" si="7"/>
        <v>일반</v>
      </c>
      <c r="P31" s="6"/>
      <c r="Q31" s="6" t="s">
        <v>133</v>
      </c>
      <c r="R31" s="29"/>
      <c r="S31" s="7" t="s">
        <v>58</v>
      </c>
      <c r="T31" s="8"/>
    </row>
    <row r="32" spans="1:20" ht="129.75" customHeight="1">
      <c r="A32" s="6">
        <v>27</v>
      </c>
      <c r="B32" s="4" t="s">
        <v>23</v>
      </c>
      <c r="C32" s="6" t="str">
        <f t="shared" si="0"/>
        <v>25-서초구-27</v>
      </c>
      <c r="D32" s="4" t="s">
        <v>24</v>
      </c>
      <c r="E32" s="4" t="s">
        <v>51</v>
      </c>
      <c r="F32" s="4" t="s">
        <v>24</v>
      </c>
      <c r="G32" s="6">
        <v>2</v>
      </c>
      <c r="H32" s="6" t="s">
        <v>25</v>
      </c>
      <c r="I32" s="6">
        <f t="shared" si="1"/>
        <v>0</v>
      </c>
      <c r="J32" s="6">
        <f t="shared" si="2"/>
        <v>1</v>
      </c>
      <c r="K32" s="6">
        <f t="shared" si="3"/>
        <v>0</v>
      </c>
      <c r="L32" s="6">
        <f t="shared" si="4"/>
        <v>0</v>
      </c>
      <c r="M32" s="6">
        <f t="shared" si="5"/>
        <v>0</v>
      </c>
      <c r="N32" s="6">
        <f t="shared" si="6"/>
        <v>1</v>
      </c>
      <c r="O32" s="6" t="str">
        <f t="shared" si="7"/>
        <v>일반</v>
      </c>
      <c r="P32" s="6"/>
      <c r="Q32" s="6" t="s">
        <v>134</v>
      </c>
      <c r="R32" s="29"/>
      <c r="S32" s="7" t="s">
        <v>59</v>
      </c>
      <c r="T32" s="8"/>
    </row>
    <row r="33" spans="1:20" ht="129.75" customHeight="1">
      <c r="A33" s="6">
        <v>28</v>
      </c>
      <c r="B33" s="4" t="s">
        <v>23</v>
      </c>
      <c r="C33" s="6" t="str">
        <f t="shared" si="0"/>
        <v>25-서초구-28</v>
      </c>
      <c r="D33" s="4" t="s">
        <v>24</v>
      </c>
      <c r="E33" s="4" t="s">
        <v>28</v>
      </c>
      <c r="F33" s="4" t="s">
        <v>24</v>
      </c>
      <c r="G33" s="6">
        <v>2</v>
      </c>
      <c r="H33" s="6" t="s">
        <v>25</v>
      </c>
      <c r="I33" s="6">
        <f t="shared" si="1"/>
        <v>0</v>
      </c>
      <c r="J33" s="6">
        <f t="shared" si="2"/>
        <v>3</v>
      </c>
      <c r="K33" s="6">
        <f t="shared" si="3"/>
        <v>0</v>
      </c>
      <c r="L33" s="6">
        <f t="shared" si="4"/>
        <v>0</v>
      </c>
      <c r="M33" s="6">
        <f t="shared" si="5"/>
        <v>0</v>
      </c>
      <c r="N33" s="6">
        <f t="shared" si="6"/>
        <v>3</v>
      </c>
      <c r="O33" s="6" t="str">
        <f t="shared" si="7"/>
        <v>일반</v>
      </c>
      <c r="P33" s="6"/>
      <c r="Q33" s="6" t="s">
        <v>135</v>
      </c>
      <c r="R33" s="29"/>
      <c r="S33" s="7" t="s">
        <v>60</v>
      </c>
      <c r="T33" s="8"/>
    </row>
    <row r="34" spans="1:20" ht="129.75" customHeight="1">
      <c r="A34" s="6">
        <v>29</v>
      </c>
      <c r="B34" s="4" t="s">
        <v>23</v>
      </c>
      <c r="C34" s="6" t="str">
        <f t="shared" si="0"/>
        <v>25-서초구-29</v>
      </c>
      <c r="D34" s="4" t="s">
        <v>24</v>
      </c>
      <c r="E34" s="4" t="s">
        <v>28</v>
      </c>
      <c r="F34" s="4" t="s">
        <v>24</v>
      </c>
      <c r="G34" s="6">
        <v>2</v>
      </c>
      <c r="H34" s="6" t="s">
        <v>25</v>
      </c>
      <c r="I34" s="6">
        <f t="shared" si="1"/>
        <v>0</v>
      </c>
      <c r="J34" s="6">
        <f t="shared" si="2"/>
        <v>3</v>
      </c>
      <c r="K34" s="6">
        <f t="shared" si="3"/>
        <v>0</v>
      </c>
      <c r="L34" s="6">
        <f t="shared" si="4"/>
        <v>0</v>
      </c>
      <c r="M34" s="6">
        <f t="shared" si="5"/>
        <v>0</v>
      </c>
      <c r="N34" s="6">
        <f t="shared" si="6"/>
        <v>3</v>
      </c>
      <c r="O34" s="6" t="str">
        <f t="shared" si="7"/>
        <v>일반</v>
      </c>
      <c r="P34" s="6"/>
      <c r="Q34" s="6" t="s">
        <v>136</v>
      </c>
      <c r="R34" s="29"/>
      <c r="S34" s="7" t="s">
        <v>61</v>
      </c>
      <c r="T34" s="8"/>
    </row>
    <row r="35" spans="1:20" ht="129.75" customHeight="1">
      <c r="A35" s="6">
        <v>30</v>
      </c>
      <c r="B35" s="4" t="s">
        <v>23</v>
      </c>
      <c r="C35" s="6" t="str">
        <f t="shared" si="0"/>
        <v>25-서초구-30</v>
      </c>
      <c r="D35" s="4" t="s">
        <v>24</v>
      </c>
      <c r="E35" s="4" t="s">
        <v>28</v>
      </c>
      <c r="F35" s="4" t="s">
        <v>24</v>
      </c>
      <c r="G35" s="6">
        <v>2</v>
      </c>
      <c r="H35" s="6" t="s">
        <v>25</v>
      </c>
      <c r="I35" s="6">
        <f t="shared" si="1"/>
        <v>0</v>
      </c>
      <c r="J35" s="6">
        <f t="shared" si="2"/>
        <v>3</v>
      </c>
      <c r="K35" s="6">
        <f t="shared" si="3"/>
        <v>0</v>
      </c>
      <c r="L35" s="6">
        <f t="shared" si="4"/>
        <v>0</v>
      </c>
      <c r="M35" s="6">
        <f t="shared" si="5"/>
        <v>0</v>
      </c>
      <c r="N35" s="6">
        <f t="shared" si="6"/>
        <v>3</v>
      </c>
      <c r="O35" s="6" t="str">
        <f t="shared" si="7"/>
        <v>일반</v>
      </c>
      <c r="P35" s="6" t="s">
        <v>26</v>
      </c>
      <c r="Q35" s="6" t="s">
        <v>137</v>
      </c>
      <c r="R35" s="29"/>
      <c r="S35" s="7" t="s">
        <v>62</v>
      </c>
      <c r="T35" s="8"/>
    </row>
    <row r="36" spans="1:20" ht="129.75" customHeight="1">
      <c r="A36" s="6">
        <v>31</v>
      </c>
      <c r="B36" s="4" t="s">
        <v>23</v>
      </c>
      <c r="C36" s="6" t="str">
        <f t="shared" si="0"/>
        <v>25-서초구-31</v>
      </c>
      <c r="D36" s="4" t="s">
        <v>24</v>
      </c>
      <c r="E36" s="4" t="s">
        <v>28</v>
      </c>
      <c r="F36" s="4" t="s">
        <v>24</v>
      </c>
      <c r="G36" s="6">
        <v>2</v>
      </c>
      <c r="H36" s="6" t="s">
        <v>25</v>
      </c>
      <c r="I36" s="6">
        <f t="shared" si="1"/>
        <v>0</v>
      </c>
      <c r="J36" s="6">
        <f t="shared" si="2"/>
        <v>3</v>
      </c>
      <c r="K36" s="6">
        <f t="shared" si="3"/>
        <v>0</v>
      </c>
      <c r="L36" s="6">
        <f t="shared" si="4"/>
        <v>0</v>
      </c>
      <c r="M36" s="6">
        <f t="shared" si="5"/>
        <v>0</v>
      </c>
      <c r="N36" s="6">
        <f t="shared" si="6"/>
        <v>3</v>
      </c>
      <c r="O36" s="6" t="str">
        <f t="shared" si="7"/>
        <v>일반</v>
      </c>
      <c r="P36" s="6" t="s">
        <v>26</v>
      </c>
      <c r="Q36" s="6" t="s">
        <v>138</v>
      </c>
      <c r="R36" s="29"/>
      <c r="S36" s="7" t="s">
        <v>63</v>
      </c>
      <c r="T36" s="8"/>
    </row>
    <row r="37" spans="1:20" ht="129.75" customHeight="1">
      <c r="A37" s="6">
        <v>32</v>
      </c>
      <c r="B37" s="4" t="s">
        <v>23</v>
      </c>
      <c r="C37" s="6" t="str">
        <f t="shared" si="0"/>
        <v>25-서초구-32</v>
      </c>
      <c r="D37" s="4" t="s">
        <v>24</v>
      </c>
      <c r="E37" s="6" t="s">
        <v>25</v>
      </c>
      <c r="F37" s="6" t="s">
        <v>25</v>
      </c>
      <c r="G37" s="6">
        <v>2</v>
      </c>
      <c r="H37" s="6" t="s">
        <v>25</v>
      </c>
      <c r="I37" s="6">
        <f t="shared" si="1"/>
        <v>0</v>
      </c>
      <c r="J37" s="6">
        <f t="shared" si="2"/>
        <v>0</v>
      </c>
      <c r="K37" s="10" t="b">
        <f t="shared" si="3"/>
        <v>0</v>
      </c>
      <c r="L37" s="6">
        <f t="shared" si="4"/>
        <v>0</v>
      </c>
      <c r="M37" s="6">
        <f t="shared" si="5"/>
        <v>0</v>
      </c>
      <c r="N37" s="6">
        <f t="shared" si="6"/>
        <v>0</v>
      </c>
      <c r="O37" s="6" t="str">
        <f t="shared" si="7"/>
        <v>일반</v>
      </c>
      <c r="P37" s="4" t="s">
        <v>33</v>
      </c>
      <c r="Q37" s="10" t="s">
        <v>138</v>
      </c>
      <c r="R37" s="29"/>
      <c r="S37" s="7" t="s">
        <v>64</v>
      </c>
      <c r="T37" s="8"/>
    </row>
    <row r="38" spans="1:20" ht="129.75" customHeight="1">
      <c r="A38" s="6">
        <v>33</v>
      </c>
      <c r="B38" s="4" t="s">
        <v>23</v>
      </c>
      <c r="C38" s="6" t="str">
        <f t="shared" si="0"/>
        <v>25-서초구-33</v>
      </c>
      <c r="D38" s="4" t="s">
        <v>24</v>
      </c>
      <c r="E38" s="4" t="s">
        <v>28</v>
      </c>
      <c r="F38" s="4" t="s">
        <v>24</v>
      </c>
      <c r="G38" s="6">
        <v>2</v>
      </c>
      <c r="H38" s="6" t="s">
        <v>25</v>
      </c>
      <c r="I38" s="6">
        <f t="shared" si="1"/>
        <v>0</v>
      </c>
      <c r="J38" s="6">
        <f t="shared" si="2"/>
        <v>3</v>
      </c>
      <c r="K38" s="6">
        <f t="shared" si="3"/>
        <v>0</v>
      </c>
      <c r="L38" s="6">
        <f t="shared" si="4"/>
        <v>0</v>
      </c>
      <c r="M38" s="6">
        <f t="shared" si="5"/>
        <v>0</v>
      </c>
      <c r="N38" s="6">
        <f t="shared" si="6"/>
        <v>3</v>
      </c>
      <c r="O38" s="6" t="str">
        <f t="shared" si="7"/>
        <v>일반</v>
      </c>
      <c r="P38" s="6"/>
      <c r="Q38" s="6" t="s">
        <v>139</v>
      </c>
      <c r="R38" s="29"/>
      <c r="S38" s="7" t="s">
        <v>65</v>
      </c>
      <c r="T38" s="8"/>
    </row>
    <row r="39" spans="1:20" ht="129.75" customHeight="1">
      <c r="A39" s="6">
        <v>34</v>
      </c>
      <c r="B39" s="4" t="s">
        <v>23</v>
      </c>
      <c r="C39" s="6" t="str">
        <f t="shared" si="0"/>
        <v>25-서초구-34</v>
      </c>
      <c r="D39" s="4" t="s">
        <v>24</v>
      </c>
      <c r="E39" s="4" t="s">
        <v>28</v>
      </c>
      <c r="F39" s="4" t="s">
        <v>24</v>
      </c>
      <c r="G39" s="6">
        <v>2</v>
      </c>
      <c r="H39" s="6" t="s">
        <v>25</v>
      </c>
      <c r="I39" s="6">
        <f t="shared" si="1"/>
        <v>0</v>
      </c>
      <c r="J39" s="6">
        <f t="shared" si="2"/>
        <v>3</v>
      </c>
      <c r="K39" s="6">
        <f t="shared" si="3"/>
        <v>0</v>
      </c>
      <c r="L39" s="6">
        <f t="shared" si="4"/>
        <v>0</v>
      </c>
      <c r="M39" s="6">
        <f t="shared" si="5"/>
        <v>0</v>
      </c>
      <c r="N39" s="6">
        <f t="shared" si="6"/>
        <v>3</v>
      </c>
      <c r="O39" s="6" t="str">
        <f t="shared" si="7"/>
        <v>일반</v>
      </c>
      <c r="P39" s="6"/>
      <c r="Q39" s="6" t="s">
        <v>140</v>
      </c>
      <c r="R39" s="29"/>
      <c r="S39" s="7" t="s">
        <v>66</v>
      </c>
      <c r="T39" s="8"/>
    </row>
    <row r="40" spans="1:20" ht="129.75" customHeight="1">
      <c r="A40" s="6">
        <v>35</v>
      </c>
      <c r="B40" s="4" t="s">
        <v>23</v>
      </c>
      <c r="C40" s="6" t="str">
        <f t="shared" si="0"/>
        <v>25-서초구-35</v>
      </c>
      <c r="D40" s="4" t="s">
        <v>24</v>
      </c>
      <c r="E40" s="4" t="s">
        <v>28</v>
      </c>
      <c r="F40" s="4" t="s">
        <v>24</v>
      </c>
      <c r="G40" s="6">
        <v>2</v>
      </c>
      <c r="H40" s="6" t="s">
        <v>25</v>
      </c>
      <c r="I40" s="6">
        <f t="shared" si="1"/>
        <v>0</v>
      </c>
      <c r="J40" s="6">
        <f t="shared" si="2"/>
        <v>3</v>
      </c>
      <c r="K40" s="6">
        <f t="shared" si="3"/>
        <v>0</v>
      </c>
      <c r="L40" s="6">
        <f t="shared" si="4"/>
        <v>0</v>
      </c>
      <c r="M40" s="6">
        <f t="shared" si="5"/>
        <v>0</v>
      </c>
      <c r="N40" s="6">
        <f t="shared" si="6"/>
        <v>3</v>
      </c>
      <c r="O40" s="6" t="str">
        <f t="shared" si="7"/>
        <v>일반</v>
      </c>
      <c r="P40" s="6"/>
      <c r="Q40" s="6" t="s">
        <v>141</v>
      </c>
      <c r="R40" s="29"/>
      <c r="S40" s="7" t="s">
        <v>67</v>
      </c>
      <c r="T40" s="8"/>
    </row>
    <row r="41" spans="1:20" ht="129.75" customHeight="1">
      <c r="A41" s="6">
        <v>36</v>
      </c>
      <c r="B41" s="4" t="s">
        <v>23</v>
      </c>
      <c r="C41" s="6" t="str">
        <f t="shared" si="0"/>
        <v>25-서초구-36</v>
      </c>
      <c r="D41" s="4" t="s">
        <v>24</v>
      </c>
      <c r="E41" s="4" t="s">
        <v>28</v>
      </c>
      <c r="F41" s="4" t="s">
        <v>24</v>
      </c>
      <c r="G41" s="6">
        <v>2</v>
      </c>
      <c r="H41" s="6" t="s">
        <v>25</v>
      </c>
      <c r="I41" s="6">
        <f t="shared" si="1"/>
        <v>0</v>
      </c>
      <c r="J41" s="6">
        <f t="shared" si="2"/>
        <v>3</v>
      </c>
      <c r="K41" s="6">
        <f t="shared" si="3"/>
        <v>0</v>
      </c>
      <c r="L41" s="6">
        <f t="shared" si="4"/>
        <v>0</v>
      </c>
      <c r="M41" s="6">
        <f t="shared" si="5"/>
        <v>0</v>
      </c>
      <c r="N41" s="6">
        <f t="shared" si="6"/>
        <v>3</v>
      </c>
      <c r="O41" s="6" t="str">
        <f t="shared" si="7"/>
        <v>일반</v>
      </c>
      <c r="P41" s="6"/>
      <c r="Q41" s="6" t="s">
        <v>142</v>
      </c>
      <c r="R41" s="29"/>
      <c r="S41" s="9" t="s">
        <v>68</v>
      </c>
      <c r="T41" s="8"/>
    </row>
    <row r="42" spans="1:20" ht="129.75" customHeight="1">
      <c r="A42" s="6">
        <v>37</v>
      </c>
      <c r="B42" s="4" t="s">
        <v>23</v>
      </c>
      <c r="C42" s="6" t="str">
        <f t="shared" si="0"/>
        <v>25-서초구-37</v>
      </c>
      <c r="D42" s="4" t="s">
        <v>24</v>
      </c>
      <c r="E42" s="4" t="s">
        <v>28</v>
      </c>
      <c r="F42" s="4" t="s">
        <v>24</v>
      </c>
      <c r="G42" s="6">
        <v>2</v>
      </c>
      <c r="H42" s="6" t="s">
        <v>25</v>
      </c>
      <c r="I42" s="6">
        <f t="shared" si="1"/>
        <v>0</v>
      </c>
      <c r="J42" s="6">
        <f t="shared" si="2"/>
        <v>3</v>
      </c>
      <c r="K42" s="6">
        <f t="shared" si="3"/>
        <v>0</v>
      </c>
      <c r="L42" s="6">
        <f t="shared" si="4"/>
        <v>0</v>
      </c>
      <c r="M42" s="6">
        <f t="shared" si="5"/>
        <v>0</v>
      </c>
      <c r="N42" s="6">
        <f t="shared" si="6"/>
        <v>3</v>
      </c>
      <c r="O42" s="6" t="str">
        <f t="shared" si="7"/>
        <v>일반</v>
      </c>
      <c r="P42" s="6"/>
      <c r="Q42" s="6" t="s">
        <v>143</v>
      </c>
      <c r="R42" s="29"/>
      <c r="S42" s="7" t="s">
        <v>69</v>
      </c>
      <c r="T42" s="8"/>
    </row>
    <row r="43" spans="1:20" ht="129.75" customHeight="1">
      <c r="A43" s="6">
        <v>38</v>
      </c>
      <c r="B43" s="4" t="s">
        <v>23</v>
      </c>
      <c r="C43" s="6" t="str">
        <f t="shared" si="0"/>
        <v>25-서초구-38</v>
      </c>
      <c r="D43" s="4" t="s">
        <v>70</v>
      </c>
      <c r="E43" s="6" t="s">
        <v>25</v>
      </c>
      <c r="F43" s="4" t="s">
        <v>24</v>
      </c>
      <c r="G43" s="6">
        <v>2</v>
      </c>
      <c r="H43" s="6" t="s">
        <v>25</v>
      </c>
      <c r="I43" s="6">
        <f t="shared" si="1"/>
        <v>3</v>
      </c>
      <c r="J43" s="6">
        <f t="shared" si="2"/>
        <v>0</v>
      </c>
      <c r="K43" s="6">
        <f t="shared" si="3"/>
        <v>0</v>
      </c>
      <c r="L43" s="6">
        <f t="shared" si="4"/>
        <v>0</v>
      </c>
      <c r="M43" s="6">
        <f t="shared" si="5"/>
        <v>0</v>
      </c>
      <c r="N43" s="6">
        <f t="shared" si="6"/>
        <v>3</v>
      </c>
      <c r="O43" s="6" t="str">
        <f t="shared" si="7"/>
        <v>일반</v>
      </c>
      <c r="P43" s="6" t="s">
        <v>71</v>
      </c>
      <c r="Q43" s="6" t="s">
        <v>143</v>
      </c>
      <c r="R43" s="29"/>
      <c r="S43" s="7" t="s">
        <v>72</v>
      </c>
      <c r="T43" s="8"/>
    </row>
    <row r="44" spans="1:20" ht="129.75" customHeight="1">
      <c r="A44" s="6">
        <v>39</v>
      </c>
      <c r="B44" s="4" t="s">
        <v>23</v>
      </c>
      <c r="C44" s="6" t="str">
        <f t="shared" si="0"/>
        <v>25-서초구-39</v>
      </c>
      <c r="D44" s="4" t="s">
        <v>24</v>
      </c>
      <c r="E44" s="4" t="s">
        <v>28</v>
      </c>
      <c r="F44" s="4" t="s">
        <v>24</v>
      </c>
      <c r="G44" s="6">
        <v>2</v>
      </c>
      <c r="H44" s="6" t="s">
        <v>25</v>
      </c>
      <c r="I44" s="6">
        <f t="shared" si="1"/>
        <v>0</v>
      </c>
      <c r="J44" s="6">
        <f t="shared" si="2"/>
        <v>3</v>
      </c>
      <c r="K44" s="6">
        <f t="shared" si="3"/>
        <v>0</v>
      </c>
      <c r="L44" s="6">
        <f t="shared" si="4"/>
        <v>0</v>
      </c>
      <c r="M44" s="6">
        <f t="shared" si="5"/>
        <v>0</v>
      </c>
      <c r="N44" s="6">
        <f t="shared" si="6"/>
        <v>3</v>
      </c>
      <c r="O44" s="6" t="str">
        <f t="shared" si="7"/>
        <v>일반</v>
      </c>
      <c r="P44" s="6"/>
      <c r="Q44" s="6" t="s">
        <v>144</v>
      </c>
      <c r="R44" s="29"/>
      <c r="S44" s="7" t="s">
        <v>73</v>
      </c>
      <c r="T44" s="8"/>
    </row>
    <row r="45" spans="1:20" ht="129.75" customHeight="1">
      <c r="A45" s="6">
        <v>40</v>
      </c>
      <c r="B45" s="4" t="s">
        <v>23</v>
      </c>
      <c r="C45" s="6" t="str">
        <f t="shared" si="0"/>
        <v>25-서초구-40</v>
      </c>
      <c r="D45" s="4" t="s">
        <v>24</v>
      </c>
      <c r="E45" s="4" t="s">
        <v>28</v>
      </c>
      <c r="F45" s="4" t="s">
        <v>24</v>
      </c>
      <c r="G45" s="6">
        <v>2</v>
      </c>
      <c r="H45" s="6" t="s">
        <v>25</v>
      </c>
      <c r="I45" s="6">
        <f t="shared" si="1"/>
        <v>0</v>
      </c>
      <c r="J45" s="6">
        <f t="shared" si="2"/>
        <v>3</v>
      </c>
      <c r="K45" s="6">
        <f t="shared" si="3"/>
        <v>0</v>
      </c>
      <c r="L45" s="6">
        <f t="shared" si="4"/>
        <v>0</v>
      </c>
      <c r="M45" s="6">
        <f t="shared" si="5"/>
        <v>0</v>
      </c>
      <c r="N45" s="6">
        <f t="shared" si="6"/>
        <v>3</v>
      </c>
      <c r="O45" s="6" t="str">
        <f t="shared" si="7"/>
        <v>일반</v>
      </c>
      <c r="P45" s="6" t="s">
        <v>26</v>
      </c>
      <c r="Q45" s="6" t="s">
        <v>145</v>
      </c>
      <c r="R45" s="29"/>
      <c r="S45" s="7" t="s">
        <v>40</v>
      </c>
      <c r="T45" s="8"/>
    </row>
    <row r="46" spans="1:20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9"/>
      <c r="T46" s="8"/>
    </row>
    <row r="47" spans="1:20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9"/>
      <c r="T47" s="8"/>
    </row>
  </sheetData>
  <phoneticPr fontId="9" type="noConversion"/>
  <pageMargins left="0.7" right="0.7" top="0.75" bottom="0.75" header="0.511811023622047" footer="0.511811023622047"/>
  <pageSetup paperSize="9" scale="34" orientation="portrait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47"/>
  <sheetViews>
    <sheetView view="pageBreakPreview" zoomScaleNormal="100" zoomScaleSheetLayoutView="100" zoomScalePageLayoutView="85" workbookViewId="0">
      <selection activeCell="E5" sqref="E5"/>
    </sheetView>
  </sheetViews>
  <sheetFormatPr defaultColWidth="8.5" defaultRowHeight="16.5"/>
  <cols>
    <col min="1" max="1" width="12.5" style="11" customWidth="1"/>
    <col min="2" max="2" width="39.125" style="11" customWidth="1"/>
    <col min="3" max="3" width="25.375" style="12" customWidth="1"/>
  </cols>
  <sheetData>
    <row r="1" spans="1:3" ht="16.5" customHeight="1"/>
    <row r="2" spans="1:3" ht="16.5" customHeight="1">
      <c r="A2" s="13" t="s">
        <v>74</v>
      </c>
    </row>
    <row r="3" spans="1:3" ht="6.75" customHeight="1"/>
    <row r="4" spans="1:3" ht="33">
      <c r="A4" s="27" t="s">
        <v>109</v>
      </c>
      <c r="B4" s="28" t="s">
        <v>110</v>
      </c>
      <c r="C4" s="27" t="s">
        <v>111</v>
      </c>
    </row>
    <row r="5" spans="1:3" ht="129.75" customHeight="1">
      <c r="A5" s="14" t="str">
        <f>RIGHT(RawData!$A$2,2)&amp;"-"&amp;RawData!$C$2&amp;"-"&amp;RawData!A6</f>
        <v>25-서초구-1</v>
      </c>
      <c r="B5" s="29"/>
      <c r="C5" s="15" t="str">
        <f>IF(RawData!S6="","-",RawData!S6)</f>
        <v>피난계단 옆(상선)
보도
(강남대로)</v>
      </c>
    </row>
    <row r="6" spans="1:3" ht="129.75" customHeight="1">
      <c r="A6" s="14" t="str">
        <f>RIGHT(RawData!$A$2,2)&amp;"-"&amp;RawData!$C$2&amp;"-"&amp;RawData!A7</f>
        <v>25-서초구-2</v>
      </c>
      <c r="B6" s="29"/>
      <c r="C6" s="15" t="str">
        <f>IF(RawData!S7="","-",RawData!S7)</f>
        <v>신사역 교차로
도로
(강남대로)</v>
      </c>
    </row>
    <row r="7" spans="1:3" ht="129.75" customHeight="1">
      <c r="A7" s="14" t="str">
        <f>RIGHT(RawData!$A$2,2)&amp;"-"&amp;RawData!$C$2&amp;"-"&amp;RawData!A8</f>
        <v>25-서초구-3</v>
      </c>
      <c r="B7" s="29"/>
      <c r="C7" s="15" t="str">
        <f>IF(RawData!S8="","-",RawData!S8)</f>
        <v>파리바게트 앞
도로
(강남대로)</v>
      </c>
    </row>
    <row r="8" spans="1:3" ht="129.75" customHeight="1">
      <c r="A8" s="14" t="str">
        <f>RIGHT(RawData!$A$2,2)&amp;"-"&amp;RawData!$C$2&amp;"-"&amp;RawData!A9</f>
        <v>25-서초구-4</v>
      </c>
      <c r="B8" s="29"/>
      <c r="C8" s="15" t="str">
        <f>IF(RawData!S9="","-",RawData!S9)</f>
        <v>CELL TRION 앞
도로
(강남대로)</v>
      </c>
    </row>
    <row r="9" spans="1:3" ht="129.75" customHeight="1">
      <c r="A9" s="14" t="str">
        <f>RIGHT(RawData!$A$2,2)&amp;"-"&amp;RawData!$C$2&amp;"-"&amp;RawData!A10</f>
        <v>25-서초구-5</v>
      </c>
      <c r="B9" s="29"/>
      <c r="C9" s="15" t="str">
        <f>IF(RawData!S10="","-",RawData!S10)</f>
        <v>CELL TRION 앞
보도
(강남대로)</v>
      </c>
    </row>
    <row r="10" spans="1:3" ht="129.75" customHeight="1">
      <c r="A10" s="14" t="str">
        <f>RIGHT(RawData!$A$2,2)&amp;"-"&amp;RawData!$C$2&amp;"-"&amp;RawData!A11</f>
        <v>25-서초구-6</v>
      </c>
      <c r="B10" s="29"/>
      <c r="C10" s="15" t="str">
        <f>IF(RawData!S11="","-",RawData!S11)</f>
        <v>서울미소그린치과 앞
버스정류장
도로
(강남대로)</v>
      </c>
    </row>
    <row r="11" spans="1:3" ht="129.75" customHeight="1">
      <c r="A11" s="14" t="str">
        <f>RIGHT(RawData!$A$2,2)&amp;"-"&amp;RawData!$C$2&amp;"-"&amp;RawData!A12</f>
        <v>25-서초구-7</v>
      </c>
      <c r="B11" s="29"/>
      <c r="C11" s="15" t="str">
        <f>IF(RawData!S12="","-",RawData!S12)</f>
        <v>씨티약국 앞
도로
(강남대로)</v>
      </c>
    </row>
    <row r="12" spans="1:3" ht="129.75" customHeight="1">
      <c r="A12" s="14" t="str">
        <f>RIGHT(RawData!$A$2,2)&amp;"-"&amp;RawData!$C$2&amp;"-"&amp;RawData!A13</f>
        <v>25-서초구-8</v>
      </c>
      <c r="B12" s="29"/>
      <c r="C12" s="15" t="str">
        <f>IF(RawData!S13="","-",RawData!S13)</f>
        <v>스타벅스 앞
버스차선
(강남대로)</v>
      </c>
    </row>
    <row r="13" spans="1:3" ht="129.75" customHeight="1">
      <c r="A13" s="14" t="str">
        <f>RIGHT(RawData!$A$2,2)&amp;"-"&amp;RawData!$C$2&amp;"-"&amp;RawData!A14</f>
        <v>25-서초구-9</v>
      </c>
      <c r="B13" s="29"/>
      <c r="C13" s="15" t="str">
        <f>IF(RawData!S14="","-",RawData!S14)</f>
        <v>이디아커피 앞
도로
(강남대로)</v>
      </c>
    </row>
    <row r="14" spans="1:3" ht="129.75" customHeight="1">
      <c r="A14" s="14" t="str">
        <f>RIGHT(RawData!$A$2,2)&amp;"-"&amp;RawData!$C$2&amp;"-"&amp;RawData!A15</f>
        <v>25-서초구-10</v>
      </c>
      <c r="B14" s="29"/>
      <c r="C14" s="15" t="str">
        <f>IF(RawData!S15="","-",RawData!S15)</f>
        <v>하나은행 앞
도로
(강남대로)</v>
      </c>
    </row>
    <row r="15" spans="1:3" ht="129.75" customHeight="1">
      <c r="A15" s="14" t="str">
        <f>RIGHT(RawData!$A$2,2)&amp;"-"&amp;RawData!$C$2&amp;"-"&amp;RawData!A16</f>
        <v>25-서초구-11</v>
      </c>
      <c r="B15" s="29"/>
      <c r="C15" s="15" t="str">
        <f>IF(RawData!S16="","-",RawData!S16)</f>
        <v>페페신사 앞
도로
(강남대로)</v>
      </c>
    </row>
    <row r="16" spans="1:3" ht="129.75" customHeight="1">
      <c r="A16" s="14" t="str">
        <f>RIGHT(RawData!$A$2,2)&amp;"-"&amp;RawData!$C$2&amp;"-"&amp;RawData!A17</f>
        <v>25-서초구-12</v>
      </c>
      <c r="B16" s="29"/>
      <c r="C16" s="15" t="str">
        <f>IF(RawData!S17="","-",RawData!S17)</f>
        <v>HY빌딩 앞
도로
(강남대로)</v>
      </c>
    </row>
    <row r="17" spans="1:3" ht="129.75" customHeight="1">
      <c r="A17" s="14" t="str">
        <f>RIGHT(RawData!$A$2,2)&amp;"-"&amp;RawData!$C$2&amp;"-"&amp;RawData!A18</f>
        <v>25-서초구-13</v>
      </c>
      <c r="B17" s="29"/>
      <c r="C17" s="15" t="str">
        <f>IF(RawData!S18="","-",RawData!S18)</f>
        <v>현장(잠원동28-6) 앞
도로
(강남대로)</v>
      </c>
    </row>
    <row r="18" spans="1:3" ht="129.75" customHeight="1">
      <c r="A18" s="14" t="str">
        <f>RIGHT(RawData!$A$2,2)&amp;"-"&amp;RawData!$C$2&amp;"-"&amp;RawData!A19</f>
        <v>25-서초구-14</v>
      </c>
      <c r="B18" s="29"/>
      <c r="C18" s="15" t="str">
        <f>IF(RawData!S19="","-",RawData!S19)</f>
        <v>현장(잠원동28-6) 앞
보도
(강남대로)</v>
      </c>
    </row>
    <row r="19" spans="1:3" ht="129.75" customHeight="1">
      <c r="A19" s="14" t="str">
        <f>RIGHT(RawData!$A$2,2)&amp;"-"&amp;RawData!$C$2&amp;"-"&amp;RawData!A20</f>
        <v>25-서초구-15</v>
      </c>
      <c r="B19" s="29"/>
      <c r="C19" s="15" t="str">
        <f>IF(RawData!S20="","-",RawData!S20)</f>
        <v>KDB산업은행 앞
도로
(강남대로)</v>
      </c>
    </row>
    <row r="20" spans="1:3" ht="129.75" customHeight="1">
      <c r="A20" s="14" t="str">
        <f>RIGHT(RawData!$A$2,2)&amp;"-"&amp;RawData!$C$2&amp;"-"&amp;RawData!A21</f>
        <v>25-서초구-16</v>
      </c>
      <c r="B20" s="29"/>
      <c r="C20" s="15" t="str">
        <f>IF(RawData!S21="","-",RawData!S21)</f>
        <v>ok광생약국 앞
도로
(강남대로)</v>
      </c>
    </row>
    <row r="21" spans="1:3" ht="129.75" customHeight="1">
      <c r="A21" s="14" t="str">
        <f>RIGHT(RawData!$A$2,2)&amp;"-"&amp;RawData!$C$2&amp;"-"&amp;RawData!A22</f>
        <v>25-서초구-17</v>
      </c>
      <c r="B21" s="29"/>
      <c r="C21" s="15" t="str">
        <f>IF(RawData!S22="","-",RawData!S22)</f>
        <v>논현역 교차로
(강남대로)</v>
      </c>
    </row>
    <row r="22" spans="1:3" ht="129.75" customHeight="1">
      <c r="A22" s="14" t="str">
        <f>RIGHT(RawData!$A$2,2)&amp;"-"&amp;RawData!$C$2&amp;"-"&amp;RawData!A23</f>
        <v>25-서초구-18</v>
      </c>
      <c r="B22" s="29"/>
      <c r="C22" s="15" t="str">
        <f>IF(RawData!S23="","-",RawData!S23)</f>
        <v>논현역 #5번출 앞
도로
(강남대로)</v>
      </c>
    </row>
    <row r="23" spans="1:3" ht="129.75" customHeight="1">
      <c r="A23" s="14" t="str">
        <f>RIGHT(RawData!$A$2,2)&amp;"-"&amp;RawData!$C$2&amp;"-"&amp;RawData!A24</f>
        <v>25-서초구-19</v>
      </c>
      <c r="B23" s="29"/>
      <c r="C23" s="15" t="str">
        <f>IF(RawData!S24="","-",RawData!S24)</f>
        <v>논현역 E/V_2호기 앞
도로
(강남대로)</v>
      </c>
    </row>
    <row r="24" spans="1:3" ht="129.75" customHeight="1">
      <c r="A24" s="14" t="str">
        <f>RIGHT(RawData!$A$2,2)&amp;"-"&amp;RawData!$C$2&amp;"-"&amp;RawData!A25</f>
        <v>25-서초구-20</v>
      </c>
      <c r="B24" s="29"/>
      <c r="C24" s="15" t="str">
        <f>IF(RawData!S25="","-",RawData!S25)</f>
        <v>논현역 #4번출구 앞
도로
(강남대로)</v>
      </c>
    </row>
    <row r="25" spans="1:3" ht="129.75" customHeight="1">
      <c r="A25" s="14" t="str">
        <f>RIGHT(RawData!$A$2,2)&amp;"-"&amp;RawData!$C$2&amp;"-"&amp;RawData!A26</f>
        <v>25-서초구-21</v>
      </c>
      <c r="B25" s="29"/>
      <c r="C25" s="15" t="str">
        <f>IF(RawData!S26="","-",RawData!S26)</f>
        <v>참치 앤 쿡 앞
도로
(강남대로)</v>
      </c>
    </row>
    <row r="26" spans="1:3" ht="129.75" customHeight="1">
      <c r="A26" s="14" t="str">
        <f>RIGHT(RawData!$A$2,2)&amp;"-"&amp;RawData!$C$2&amp;"-"&amp;RawData!A27</f>
        <v>25-서초구-22</v>
      </c>
      <c r="B26" s="29"/>
      <c r="C26" s="15" t="str">
        <f>IF(RawData!S27="","-",RawData!S27)</f>
        <v>뮬리성형외과 앞
도로
(강남대로)</v>
      </c>
    </row>
    <row r="27" spans="1:3" ht="129.75" customHeight="1">
      <c r="A27" s="14" t="str">
        <f>RIGHT(RawData!$A$2,2)&amp;"-"&amp;RawData!$C$2&amp;"-"&amp;RawData!A28</f>
        <v>25-서초구-23</v>
      </c>
      <c r="B27" s="29"/>
      <c r="C27" s="15" t="str">
        <f>IF(RawData!S28="","-",RawData!S28)</f>
        <v>강남성모원 안과의원 앞
보도
(강남대로)</v>
      </c>
    </row>
    <row r="28" spans="1:3" ht="129.75" customHeight="1">
      <c r="A28" s="14" t="str">
        <f>RIGHT(RawData!$A$2,2)&amp;"-"&amp;RawData!$C$2&amp;"-"&amp;RawData!A29</f>
        <v>25-서초구-24</v>
      </c>
      <c r="B28" s="29"/>
      <c r="C28" s="15" t="str">
        <f>IF(RawData!S29="","-",RawData!S29)</f>
        <v>커피빈 앞
도로
(강남대로)</v>
      </c>
    </row>
    <row r="29" spans="1:3" ht="129.75" customHeight="1">
      <c r="A29" s="14" t="str">
        <f>RIGHT(RawData!$A$2,2)&amp;"-"&amp;RawData!$C$2&amp;"-"&amp;RawData!A30</f>
        <v>25-서초구-25</v>
      </c>
      <c r="B29" s="29"/>
      <c r="C29" s="15" t="str">
        <f>IF(RawData!S30="","-",RawData!S30)</f>
        <v>스타벅스 앞
도로
(강남대로)</v>
      </c>
    </row>
    <row r="30" spans="1:3" ht="129.75" customHeight="1">
      <c r="A30" s="14" t="str">
        <f>RIGHT(RawData!$A$2,2)&amp;"-"&amp;RawData!$C$2&amp;"-"&amp;RawData!A31</f>
        <v>25-서초구-26</v>
      </c>
      <c r="B30" s="29"/>
      <c r="C30" s="15" t="str">
        <f>IF(RawData!S31="","-",RawData!S31)</f>
        <v>신논현역 교차로
=교보타워 교차로
(강남대로)</v>
      </c>
    </row>
    <row r="31" spans="1:3" ht="129.75" customHeight="1">
      <c r="A31" s="14" t="str">
        <f>RIGHT(RawData!$A$2,2)&amp;"-"&amp;RawData!$C$2&amp;"-"&amp;RawData!A32</f>
        <v>25-서초구-27</v>
      </c>
      <c r="B31" s="29"/>
      <c r="C31" s="15" t="str">
        <f>IF(RawData!S32="","-",RawData!S32)</f>
        <v>교보타워 주차장 앞
도로
(강남대로)</v>
      </c>
    </row>
    <row r="32" spans="1:3" ht="129.75" customHeight="1">
      <c r="A32" s="14" t="str">
        <f>RIGHT(RawData!$A$2,2)&amp;"-"&amp;RawData!$C$2&amp;"-"&amp;RawData!A33</f>
        <v>25-서초구-28</v>
      </c>
      <c r="B32" s="29"/>
      <c r="C32" s="15" t="str">
        <f>IF(RawData!S33="","-",RawData!S33)</f>
        <v>던킹도너츠 앞
도로
(강남대로)</v>
      </c>
    </row>
    <row r="33" spans="1:3" ht="129.75" customHeight="1">
      <c r="A33" s="14" t="str">
        <f>RIGHT(RawData!$A$2,2)&amp;"-"&amp;RawData!$C$2&amp;"-"&amp;RawData!A34</f>
        <v>25-서초구-29</v>
      </c>
      <c r="B33" s="29"/>
      <c r="C33" s="15" t="str">
        <f>IF(RawData!S34="","-",RawData!S34)</f>
        <v>수세연 안과의원
도로
(강남대로)</v>
      </c>
    </row>
    <row r="34" spans="1:3" ht="129.75" customHeight="1">
      <c r="A34" s="14" t="str">
        <f>RIGHT(RawData!$A$2,2)&amp;"-"&amp;RawData!$C$2&amp;"-"&amp;RawData!A35</f>
        <v>25-서초구-30</v>
      </c>
      <c r="B34" s="29"/>
      <c r="C34" s="15" t="str">
        <f>IF(RawData!S35="","-",RawData!S35)</f>
        <v>자라 앞
도로
(강남대로)</v>
      </c>
    </row>
    <row r="35" spans="1:3" ht="129.75" customHeight="1">
      <c r="A35" s="14" t="str">
        <f>RIGHT(RawData!$A$2,2)&amp;"-"&amp;RawData!$C$2&amp;"-"&amp;RawData!A36</f>
        <v>25-서초구-31</v>
      </c>
      <c r="B35" s="29"/>
      <c r="C35" s="15" t="str">
        <f>IF(RawData!S36="","-",RawData!S36)</f>
        <v>준오헤어 앞
보도
(강남대로)</v>
      </c>
    </row>
    <row r="36" spans="1:3" ht="129.75" customHeight="1">
      <c r="A36" s="14" t="str">
        <f>RIGHT(RawData!$A$2,2)&amp;"-"&amp;RawData!$C$2&amp;"-"&amp;RawData!A37</f>
        <v>25-서초구-32</v>
      </c>
      <c r="B36" s="29"/>
      <c r="C36" s="15" t="str">
        <f>IF(RawData!S37="","-",RawData!S37)</f>
        <v>준오헤어 앞
도로
(강남대로)</v>
      </c>
    </row>
    <row r="37" spans="1:3" ht="129.75" customHeight="1">
      <c r="A37" s="14" t="str">
        <f>RIGHT(RawData!$A$2,2)&amp;"-"&amp;RawData!$C$2&amp;"-"&amp;RawData!A38</f>
        <v>25-서초구-33</v>
      </c>
      <c r="B37" s="29"/>
      <c r="C37" s="15" t="str">
        <f>IF(RawData!S38="","-",RawData!S38)</f>
        <v>라인프렌즈 앞
도로
(강남대로)</v>
      </c>
    </row>
    <row r="38" spans="1:3" ht="129.75" customHeight="1">
      <c r="A38" s="14" t="str">
        <f>RIGHT(RawData!$A$2,2)&amp;"-"&amp;RawData!$C$2&amp;"-"&amp;RawData!A39</f>
        <v>25-서초구-34</v>
      </c>
      <c r="B38" s="29"/>
      <c r="C38" s="15" t="str">
        <f>IF(RawData!S39="","-",RawData!S39)</f>
        <v>올리브영 앞
도로
(강남대로)</v>
      </c>
    </row>
    <row r="39" spans="1:3" ht="129.75" customHeight="1">
      <c r="A39" s="14" t="str">
        <f>RIGHT(RawData!$A$2,2)&amp;"-"&amp;RawData!$C$2&amp;"-"&amp;RawData!A40</f>
        <v>25-서초구-35</v>
      </c>
      <c r="B39" s="29"/>
      <c r="C39" s="15" t="str">
        <f>IF(RawData!S40="","-",RawData!S40)</f>
        <v>비엠사오 앞
도로
(강남대로)</v>
      </c>
    </row>
    <row r="40" spans="1:3" ht="129.75" customHeight="1">
      <c r="A40" s="14" t="str">
        <f>RIGHT(RawData!$A$2,2)&amp;"-"&amp;RawData!$C$2&amp;"-"&amp;RawData!A41</f>
        <v>25-서초구-36</v>
      </c>
      <c r="B40" s="29"/>
      <c r="C40" s="15" t="str">
        <f>IF(RawData!S41="","-",RawData!S41)</f>
        <v>ABC마트 앞
도로
(강남대로)</v>
      </c>
    </row>
    <row r="41" spans="1:3" ht="129.75" customHeight="1">
      <c r="A41" s="14" t="str">
        <f>RIGHT(RawData!$A$2,2)&amp;"-"&amp;RawData!$C$2&amp;"-"&amp;RawData!A42</f>
        <v>25-서초구-37</v>
      </c>
      <c r="B41" s="29"/>
      <c r="C41" s="15" t="str">
        <f>IF(RawData!S42="","-",RawData!S42)</f>
        <v>강남 성모안과 앞
도로
(강남대로)</v>
      </c>
    </row>
    <row r="42" spans="1:3" ht="129.75" customHeight="1">
      <c r="A42" s="14" t="str">
        <f>RIGHT(RawData!$A$2,2)&amp;"-"&amp;RawData!$C$2&amp;"-"&amp;RawData!A43</f>
        <v>25-서초구-38</v>
      </c>
      <c r="B42" s="29"/>
      <c r="C42" s="15" t="str">
        <f>IF(RawData!S43="","-",RawData!S43)</f>
        <v>강남 성모안과 앞
횡단보도
(강남대로)</v>
      </c>
    </row>
    <row r="43" spans="1:3" ht="129.75" customHeight="1">
      <c r="A43" s="14" t="str">
        <f>RIGHT(RawData!$A$2,2)&amp;"-"&amp;RawData!$C$2&amp;"-"&amp;RawData!A44</f>
        <v>25-서초구-39</v>
      </c>
      <c r="B43" s="29"/>
      <c r="C43" s="15" t="str">
        <f>IF(RawData!S44="","-",RawData!S44)</f>
        <v>삼성스토어 앞
도로
(강남대로)</v>
      </c>
    </row>
    <row r="44" spans="1:3" ht="129.75" customHeight="1">
      <c r="A44" s="14" t="str">
        <f>RIGHT(RawData!$A$2,2)&amp;"-"&amp;RawData!$C$2&amp;"-"&amp;RawData!A45</f>
        <v>25-서초구-40</v>
      </c>
      <c r="B44" s="29"/>
      <c r="C44" s="15" t="str">
        <f>IF(RawData!S45="","-",RawData!S45)</f>
        <v>하나은행 앞
도로
(강남대로)</v>
      </c>
    </row>
    <row r="45" spans="1:3">
      <c r="A45" s="14"/>
      <c r="B45" s="6"/>
      <c r="C45" s="15"/>
    </row>
    <row r="46" spans="1:3">
      <c r="A46" s="14"/>
      <c r="B46" s="6"/>
      <c r="C46" s="15"/>
    </row>
    <row r="47" spans="1:3">
      <c r="A47" s="16"/>
      <c r="B47" s="17"/>
      <c r="C47" s="16"/>
    </row>
  </sheetData>
  <phoneticPr fontId="9" type="noConversion"/>
  <pageMargins left="0.70833333333333304" right="0.70833333333333304" top="0.74791666666666701" bottom="0.74791666666666701" header="0.511811023622047" footer="0.511811023622047"/>
  <pageSetup paperSize="9" orientation="portrait" horizontalDpi="300" verticalDpi="30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S50"/>
  <sheetViews>
    <sheetView view="pageBreakPreview" zoomScaleNormal="100" workbookViewId="0">
      <selection activeCell="S23" sqref="S23"/>
    </sheetView>
  </sheetViews>
  <sheetFormatPr defaultColWidth="8.5" defaultRowHeight="16.5"/>
  <cols>
    <col min="3" max="3" width="11.625" style="11" customWidth="1"/>
    <col min="8" max="8" width="13.875" style="11" customWidth="1"/>
    <col min="13" max="13" width="13.875" style="11" customWidth="1"/>
    <col min="14" max="15" width="4.375" style="11" customWidth="1"/>
    <col min="16" max="16" width="11.625" style="11" customWidth="1"/>
  </cols>
  <sheetData>
    <row r="2" spans="1:19">
      <c r="A2" s="18" t="s">
        <v>75</v>
      </c>
      <c r="B2" s="13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</row>
    <row r="3" spans="1:19" ht="6.75" customHeight="1">
      <c r="A3" s="19"/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  <c r="O3" s="19"/>
      <c r="P3" s="19"/>
    </row>
    <row r="4" spans="1:19">
      <c r="A4" s="30" t="s">
        <v>76</v>
      </c>
      <c r="B4" s="30"/>
      <c r="C4" s="30" t="s">
        <v>77</v>
      </c>
      <c r="D4" s="30"/>
      <c r="E4" s="30" t="s">
        <v>78</v>
      </c>
      <c r="F4" s="30"/>
      <c r="G4" s="30" t="s">
        <v>79</v>
      </c>
      <c r="H4" s="30"/>
      <c r="I4" s="30"/>
      <c r="J4" s="30" t="s">
        <v>80</v>
      </c>
      <c r="K4" s="30"/>
      <c r="L4" s="30"/>
      <c r="M4" s="30" t="s">
        <v>81</v>
      </c>
      <c r="N4" s="30"/>
      <c r="O4" s="30"/>
      <c r="P4" s="30"/>
    </row>
    <row r="5" spans="1:19">
      <c r="A5" s="30" t="s">
        <v>82</v>
      </c>
      <c r="B5" s="30"/>
      <c r="C5" s="30" t="s">
        <v>4</v>
      </c>
      <c r="D5" s="30"/>
      <c r="E5" s="30" t="s">
        <v>83</v>
      </c>
      <c r="F5" s="30"/>
      <c r="G5" s="31" t="s">
        <v>84</v>
      </c>
      <c r="H5" s="31"/>
      <c r="I5" s="31"/>
      <c r="J5" s="30" t="s">
        <v>83</v>
      </c>
      <c r="K5" s="30"/>
      <c r="L5" s="30"/>
      <c r="M5" s="30" t="s">
        <v>85</v>
      </c>
      <c r="N5" s="30"/>
      <c r="O5" s="30"/>
      <c r="P5" s="30"/>
    </row>
    <row r="6" spans="1:19">
      <c r="A6" s="19"/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  <c r="O6" s="19"/>
      <c r="P6" s="19"/>
    </row>
    <row r="7" spans="1:19" ht="16.5" customHeight="1">
      <c r="A7" s="32" t="s">
        <v>5</v>
      </c>
      <c r="B7" s="32" t="s">
        <v>6</v>
      </c>
      <c r="C7" s="32" t="s">
        <v>7</v>
      </c>
      <c r="D7" s="33" t="s">
        <v>86</v>
      </c>
      <c r="E7" s="33"/>
      <c r="F7" s="33"/>
      <c r="G7" s="33"/>
      <c r="H7" s="33"/>
      <c r="I7" s="33" t="s">
        <v>87</v>
      </c>
      <c r="J7" s="33"/>
      <c r="K7" s="33"/>
      <c r="L7" s="33"/>
      <c r="M7" s="33"/>
      <c r="N7" s="32" t="s">
        <v>16</v>
      </c>
      <c r="O7" s="32" t="s">
        <v>17</v>
      </c>
      <c r="P7" s="32" t="s">
        <v>18</v>
      </c>
    </row>
    <row r="8" spans="1:19" s="22" customFormat="1" ht="24.75" customHeight="1">
      <c r="A8" s="32"/>
      <c r="B8" s="32"/>
      <c r="C8" s="32"/>
      <c r="D8" s="20" t="s">
        <v>88</v>
      </c>
      <c r="E8" s="20" t="s">
        <v>9</v>
      </c>
      <c r="F8" s="20" t="s">
        <v>10</v>
      </c>
      <c r="G8" s="20" t="s">
        <v>89</v>
      </c>
      <c r="H8" s="20" t="s">
        <v>90</v>
      </c>
      <c r="I8" s="20" t="s">
        <v>13</v>
      </c>
      <c r="J8" s="20" t="s">
        <v>9</v>
      </c>
      <c r="K8" s="20" t="s">
        <v>10</v>
      </c>
      <c r="L8" s="20" t="s">
        <v>14</v>
      </c>
      <c r="M8" s="20" t="s">
        <v>15</v>
      </c>
      <c r="N8" s="32"/>
      <c r="O8" s="32"/>
      <c r="P8" s="32"/>
      <c r="Q8" s="21"/>
      <c r="R8" s="21"/>
      <c r="S8" s="21"/>
    </row>
    <row r="9" spans="1:19">
      <c r="A9" s="14">
        <v>1</v>
      </c>
      <c r="B9" s="14" t="str">
        <f>RawData!B6</f>
        <v>강남대로</v>
      </c>
      <c r="C9" s="14" t="str">
        <f>RIGHT(RawData!$A$2,2)&amp;"-"&amp;RawData!$C$2&amp;"-"&amp;RawData!A6</f>
        <v>25-서초구-1</v>
      </c>
      <c r="D9" s="14" t="str">
        <f>RawData!D6</f>
        <v>양호</v>
      </c>
      <c r="E9" s="14" t="str">
        <f>RawData!E6</f>
        <v>-</v>
      </c>
      <c r="F9" s="14" t="str">
        <f>RawData!F6</f>
        <v>양호</v>
      </c>
      <c r="G9" s="14">
        <f>RawData!G6</f>
        <v>2</v>
      </c>
      <c r="H9" s="14" t="str">
        <f>RawData!H6</f>
        <v>-</v>
      </c>
      <c r="I9" s="14">
        <f t="shared" ref="I9:I48" si="0">IF(D9="양호",0,IF(D9&gt;=100,9,IF(D9&gt;=50,3,IF(D9&lt;50,0))))</f>
        <v>0</v>
      </c>
      <c r="J9" s="14">
        <f t="shared" ref="J9:J48" si="1">IF(E9="거북등",3,IF(RIGHT(E9,2)="균열",1,IF(E9="-",0)))</f>
        <v>0</v>
      </c>
      <c r="K9" s="14">
        <f t="shared" ref="K9:K48" si="2">IF(F9="유출",9,IF(F9="습윤",1,IF(F9="양호",0,IF(F9="건조",0))))</f>
        <v>0</v>
      </c>
      <c r="L9" s="14">
        <f t="shared" ref="L9:L48" si="3">IF(G9&lt;10,0,IF(G9&lt;30,1,IF(G9&gt;=30,2)))</f>
        <v>0</v>
      </c>
      <c r="M9" s="14">
        <f t="shared" ref="M9:M48" si="4">IF(H9="-",0,1)</f>
        <v>0</v>
      </c>
      <c r="N9" s="14">
        <f t="shared" ref="N9:N48" si="5">SUM(I9:M9)</f>
        <v>0</v>
      </c>
      <c r="O9" s="14" t="str">
        <f t="shared" ref="O9:O48" si="6">IF(N9&lt;6,"일반",IF(N9&lt;9,"우선",IF(N9&gt;=9,"긴급")))</f>
        <v>일반</v>
      </c>
      <c r="P9" s="14" t="str">
        <f>RawData!P6</f>
        <v>5cm미만 침하</v>
      </c>
    </row>
    <row r="10" spans="1:19">
      <c r="A10" s="14">
        <v>2</v>
      </c>
      <c r="B10" s="14" t="str">
        <f>RawData!B7</f>
        <v>강남대로</v>
      </c>
      <c r="C10" s="14" t="str">
        <f>RIGHT(RawData!$A$2,2)&amp;"-"&amp;RawData!$C$2&amp;"-"&amp;RawData!A7</f>
        <v>25-서초구-2</v>
      </c>
      <c r="D10" s="14" t="str">
        <f>RawData!D7</f>
        <v>양호</v>
      </c>
      <c r="E10" s="14" t="str">
        <f>RawData!E7</f>
        <v>거북등</v>
      </c>
      <c r="F10" s="14" t="str">
        <f>RawData!F7</f>
        <v>양호</v>
      </c>
      <c r="G10" s="14">
        <f>RawData!G7</f>
        <v>2</v>
      </c>
      <c r="H10" s="14" t="str">
        <f>RawData!H7</f>
        <v>-</v>
      </c>
      <c r="I10" s="14">
        <f t="shared" si="0"/>
        <v>0</v>
      </c>
      <c r="J10" s="14">
        <f t="shared" si="1"/>
        <v>3</v>
      </c>
      <c r="K10" s="14">
        <f t="shared" si="2"/>
        <v>0</v>
      </c>
      <c r="L10" s="14">
        <f t="shared" si="3"/>
        <v>0</v>
      </c>
      <c r="M10" s="14">
        <f t="shared" si="4"/>
        <v>0</v>
      </c>
      <c r="N10" s="14">
        <f t="shared" si="5"/>
        <v>3</v>
      </c>
      <c r="O10" s="14" t="str">
        <f t="shared" si="6"/>
        <v>일반</v>
      </c>
      <c r="P10" s="14">
        <f>RawData!P7</f>
        <v>0</v>
      </c>
    </row>
    <row r="11" spans="1:19">
      <c r="A11" s="14">
        <v>3</v>
      </c>
      <c r="B11" s="14" t="str">
        <f>RawData!B8</f>
        <v>강남대로</v>
      </c>
      <c r="C11" s="14" t="str">
        <f>RIGHT(RawData!$A$2,2)&amp;"-"&amp;RawData!$C$2&amp;"-"&amp;RawData!A8</f>
        <v>25-서초구-3</v>
      </c>
      <c r="D11" s="14" t="str">
        <f>RawData!D8</f>
        <v>양호</v>
      </c>
      <c r="E11" s="14" t="str">
        <f>RawData!E8</f>
        <v>횡균열</v>
      </c>
      <c r="F11" s="14" t="str">
        <f>RawData!F8</f>
        <v>양호</v>
      </c>
      <c r="G11" s="14">
        <f>RawData!G8</f>
        <v>2</v>
      </c>
      <c r="H11" s="14" t="str">
        <f>RawData!H8</f>
        <v>-</v>
      </c>
      <c r="I11" s="14">
        <f t="shared" si="0"/>
        <v>0</v>
      </c>
      <c r="J11" s="14">
        <f t="shared" si="1"/>
        <v>1</v>
      </c>
      <c r="K11" s="14">
        <f t="shared" si="2"/>
        <v>0</v>
      </c>
      <c r="L11" s="14">
        <f t="shared" si="3"/>
        <v>0</v>
      </c>
      <c r="M11" s="14">
        <f t="shared" si="4"/>
        <v>0</v>
      </c>
      <c r="N11" s="14">
        <f t="shared" si="5"/>
        <v>1</v>
      </c>
      <c r="O11" s="14" t="str">
        <f t="shared" si="6"/>
        <v>일반</v>
      </c>
      <c r="P11" s="14">
        <f>RawData!P8</f>
        <v>0</v>
      </c>
    </row>
    <row r="12" spans="1:19">
      <c r="A12" s="14">
        <v>4</v>
      </c>
      <c r="B12" s="14" t="str">
        <f>RawData!B9</f>
        <v>강남대로</v>
      </c>
      <c r="C12" s="14" t="str">
        <f>RIGHT(RawData!$A$2,2)&amp;"-"&amp;RawData!$C$2&amp;"-"&amp;RawData!A9</f>
        <v>25-서초구-4</v>
      </c>
      <c r="D12" s="14" t="str">
        <f>RawData!D9</f>
        <v>양호</v>
      </c>
      <c r="E12" s="14" t="str">
        <f>RawData!E9</f>
        <v>거북등</v>
      </c>
      <c r="F12" s="14" t="str">
        <f>RawData!F9</f>
        <v>양호</v>
      </c>
      <c r="G12" s="14">
        <f>RawData!G9</f>
        <v>2</v>
      </c>
      <c r="H12" s="14" t="str">
        <f>RawData!H9</f>
        <v>-</v>
      </c>
      <c r="I12" s="14">
        <f t="shared" si="0"/>
        <v>0</v>
      </c>
      <c r="J12" s="14">
        <f t="shared" si="1"/>
        <v>3</v>
      </c>
      <c r="K12" s="14">
        <f t="shared" si="2"/>
        <v>0</v>
      </c>
      <c r="L12" s="14">
        <f t="shared" si="3"/>
        <v>0</v>
      </c>
      <c r="M12" s="14">
        <f t="shared" si="4"/>
        <v>0</v>
      </c>
      <c r="N12" s="14">
        <f t="shared" si="5"/>
        <v>3</v>
      </c>
      <c r="O12" s="14" t="str">
        <f t="shared" si="6"/>
        <v>일반</v>
      </c>
      <c r="P12" s="14" t="str">
        <f>RawData!P9</f>
        <v>5cm미만 침하</v>
      </c>
    </row>
    <row r="13" spans="1:19">
      <c r="A13" s="14">
        <v>5</v>
      </c>
      <c r="B13" s="14" t="str">
        <f>RawData!B10</f>
        <v>강남대로</v>
      </c>
      <c r="C13" s="14" t="str">
        <f>RIGHT(RawData!$A$2,2)&amp;"-"&amp;RawData!$C$2&amp;"-"&amp;RawData!A10</f>
        <v>25-서초구-5</v>
      </c>
      <c r="D13" s="14" t="str">
        <f>RawData!D10</f>
        <v>양호</v>
      </c>
      <c r="E13" s="14" t="str">
        <f>RawData!E10</f>
        <v>-</v>
      </c>
      <c r="F13" s="14" t="str">
        <f>RawData!F10</f>
        <v>양호</v>
      </c>
      <c r="G13" s="14">
        <f>RawData!G10</f>
        <v>2</v>
      </c>
      <c r="H13" s="14" t="str">
        <f>RawData!H10</f>
        <v>-</v>
      </c>
      <c r="I13" s="14">
        <f t="shared" si="0"/>
        <v>0</v>
      </c>
      <c r="J13" s="14">
        <f t="shared" si="1"/>
        <v>0</v>
      </c>
      <c r="K13" s="14">
        <f t="shared" si="2"/>
        <v>0</v>
      </c>
      <c r="L13" s="14">
        <f t="shared" si="3"/>
        <v>0</v>
      </c>
      <c r="M13" s="14">
        <f t="shared" si="4"/>
        <v>0</v>
      </c>
      <c r="N13" s="14">
        <f t="shared" si="5"/>
        <v>0</v>
      </c>
      <c r="O13" s="14" t="str">
        <f t="shared" si="6"/>
        <v>일반</v>
      </c>
      <c r="P13" s="14" t="str">
        <f>RawData!P10</f>
        <v>보도침하</v>
      </c>
    </row>
    <row r="14" spans="1:19">
      <c r="A14" s="14">
        <v>6</v>
      </c>
      <c r="B14" s="14" t="str">
        <f>RawData!B11</f>
        <v>강남대로</v>
      </c>
      <c r="C14" s="14" t="str">
        <f>RIGHT(RawData!$A$2,2)&amp;"-"&amp;RawData!$C$2&amp;"-"&amp;RawData!A11</f>
        <v>25-서초구-6</v>
      </c>
      <c r="D14" s="14" t="str">
        <f>RawData!D11</f>
        <v>양호</v>
      </c>
      <c r="E14" s="14" t="str">
        <f>RawData!E11</f>
        <v>거북등</v>
      </c>
      <c r="F14" s="14" t="str">
        <f>RawData!F11</f>
        <v>양호</v>
      </c>
      <c r="G14" s="14">
        <f>RawData!G11</f>
        <v>2</v>
      </c>
      <c r="H14" s="14" t="str">
        <f>RawData!H11</f>
        <v>-</v>
      </c>
      <c r="I14" s="14">
        <f t="shared" si="0"/>
        <v>0</v>
      </c>
      <c r="J14" s="14">
        <f t="shared" si="1"/>
        <v>3</v>
      </c>
      <c r="K14" s="14">
        <f t="shared" si="2"/>
        <v>0</v>
      </c>
      <c r="L14" s="14">
        <f t="shared" si="3"/>
        <v>0</v>
      </c>
      <c r="M14" s="14">
        <f t="shared" si="4"/>
        <v>0</v>
      </c>
      <c r="N14" s="14">
        <f t="shared" si="5"/>
        <v>3</v>
      </c>
      <c r="O14" s="14" t="str">
        <f t="shared" si="6"/>
        <v>일반</v>
      </c>
      <c r="P14" s="14" t="str">
        <f>RawData!P11</f>
        <v>5cm미만 침하</v>
      </c>
    </row>
    <row r="15" spans="1:19">
      <c r="A15" s="14">
        <v>7</v>
      </c>
      <c r="B15" s="14" t="str">
        <f>RawData!B12</f>
        <v>강남대로</v>
      </c>
      <c r="C15" s="14" t="str">
        <f>RIGHT(RawData!$A$2,2)&amp;"-"&amp;RawData!$C$2&amp;"-"&amp;RawData!A12</f>
        <v>25-서초구-7</v>
      </c>
      <c r="D15" s="14" t="str">
        <f>RawData!D12</f>
        <v>양호</v>
      </c>
      <c r="E15" s="14" t="str">
        <f>RawData!E12</f>
        <v>거북등</v>
      </c>
      <c r="F15" s="14" t="str">
        <f>RawData!F12</f>
        <v>양호</v>
      </c>
      <c r="G15" s="14">
        <f>RawData!G12</f>
        <v>2</v>
      </c>
      <c r="H15" s="14" t="str">
        <f>RawData!H12</f>
        <v>-</v>
      </c>
      <c r="I15" s="14">
        <f t="shared" si="0"/>
        <v>0</v>
      </c>
      <c r="J15" s="14">
        <f t="shared" si="1"/>
        <v>3</v>
      </c>
      <c r="K15" s="14">
        <f t="shared" si="2"/>
        <v>0</v>
      </c>
      <c r="L15" s="14">
        <f t="shared" si="3"/>
        <v>0</v>
      </c>
      <c r="M15" s="14">
        <f t="shared" si="4"/>
        <v>0</v>
      </c>
      <c r="N15" s="14">
        <f t="shared" si="5"/>
        <v>3</v>
      </c>
      <c r="O15" s="14" t="str">
        <f t="shared" si="6"/>
        <v>일반</v>
      </c>
      <c r="P15" s="14" t="str">
        <f>RawData!P12</f>
        <v>5cm미만 침하</v>
      </c>
    </row>
    <row r="16" spans="1:19">
      <c r="A16" s="14">
        <v>8</v>
      </c>
      <c r="B16" s="14" t="str">
        <f>RawData!B13</f>
        <v>강남대로</v>
      </c>
      <c r="C16" s="14" t="str">
        <f>RIGHT(RawData!$A$2,2)&amp;"-"&amp;RawData!$C$2&amp;"-"&amp;RawData!A13</f>
        <v>25-서초구-8</v>
      </c>
      <c r="D16" s="14" t="str">
        <f>RawData!D13</f>
        <v>양호</v>
      </c>
      <c r="E16" s="14" t="str">
        <f>RawData!E13</f>
        <v>거북등</v>
      </c>
      <c r="F16" s="14" t="str">
        <f>RawData!F13</f>
        <v>양호</v>
      </c>
      <c r="G16" s="14">
        <f>RawData!G13</f>
        <v>2</v>
      </c>
      <c r="H16" s="14" t="str">
        <f>RawData!H13</f>
        <v>-</v>
      </c>
      <c r="I16" s="14">
        <f t="shared" si="0"/>
        <v>0</v>
      </c>
      <c r="J16" s="14">
        <f t="shared" si="1"/>
        <v>3</v>
      </c>
      <c r="K16" s="14">
        <f t="shared" si="2"/>
        <v>0</v>
      </c>
      <c r="L16" s="14">
        <f t="shared" si="3"/>
        <v>0</v>
      </c>
      <c r="M16" s="14">
        <f t="shared" si="4"/>
        <v>0</v>
      </c>
      <c r="N16" s="14">
        <f t="shared" si="5"/>
        <v>3</v>
      </c>
      <c r="O16" s="14" t="str">
        <f t="shared" si="6"/>
        <v>일반</v>
      </c>
      <c r="P16" s="14" t="str">
        <f>RawData!P13</f>
        <v>버스차선 확인불가</v>
      </c>
    </row>
    <row r="17" spans="1:16">
      <c r="A17" s="14">
        <v>9</v>
      </c>
      <c r="B17" s="14" t="str">
        <f>RawData!B14</f>
        <v>강남대로</v>
      </c>
      <c r="C17" s="14" t="str">
        <f>RIGHT(RawData!$A$2,2)&amp;"-"&amp;RawData!$C$2&amp;"-"&amp;RawData!A14</f>
        <v>25-서초구-9</v>
      </c>
      <c r="D17" s="14" t="str">
        <f>RawData!D14</f>
        <v>양호</v>
      </c>
      <c r="E17" s="14" t="str">
        <f>RawData!E14</f>
        <v>거북등</v>
      </c>
      <c r="F17" s="14" t="str">
        <f>RawData!F14</f>
        <v>양호</v>
      </c>
      <c r="G17" s="14">
        <f>RawData!G14</f>
        <v>2</v>
      </c>
      <c r="H17" s="14" t="str">
        <f>RawData!H14</f>
        <v>-</v>
      </c>
      <c r="I17" s="14">
        <f t="shared" si="0"/>
        <v>0</v>
      </c>
      <c r="J17" s="14">
        <f t="shared" si="1"/>
        <v>3</v>
      </c>
      <c r="K17" s="14">
        <f t="shared" si="2"/>
        <v>0</v>
      </c>
      <c r="L17" s="14">
        <f t="shared" si="3"/>
        <v>0</v>
      </c>
      <c r="M17" s="14">
        <f t="shared" si="4"/>
        <v>0</v>
      </c>
      <c r="N17" s="14">
        <f t="shared" si="5"/>
        <v>3</v>
      </c>
      <c r="O17" s="14" t="str">
        <f t="shared" si="6"/>
        <v>일반</v>
      </c>
      <c r="P17" s="14" t="str">
        <f>RawData!P14</f>
        <v>5cm미만 침하</v>
      </c>
    </row>
    <row r="18" spans="1:16">
      <c r="A18" s="14">
        <v>10</v>
      </c>
      <c r="B18" s="14" t="str">
        <f>RawData!B15</f>
        <v>강남대로</v>
      </c>
      <c r="C18" s="14" t="str">
        <f>RIGHT(RawData!$A$2,2)&amp;"-"&amp;RawData!$C$2&amp;"-"&amp;RawData!A15</f>
        <v>25-서초구-10</v>
      </c>
      <c r="D18" s="14" t="str">
        <f>RawData!D15</f>
        <v>양호</v>
      </c>
      <c r="E18" s="14" t="str">
        <f>RawData!E15</f>
        <v>거북등</v>
      </c>
      <c r="F18" s="14" t="str">
        <f>RawData!F15</f>
        <v>양호</v>
      </c>
      <c r="G18" s="14">
        <f>RawData!G15</f>
        <v>2</v>
      </c>
      <c r="H18" s="14" t="str">
        <f>RawData!H15</f>
        <v>-</v>
      </c>
      <c r="I18" s="14">
        <f t="shared" si="0"/>
        <v>0</v>
      </c>
      <c r="J18" s="14">
        <f t="shared" si="1"/>
        <v>3</v>
      </c>
      <c r="K18" s="14">
        <f t="shared" si="2"/>
        <v>0</v>
      </c>
      <c r="L18" s="14">
        <f t="shared" si="3"/>
        <v>0</v>
      </c>
      <c r="M18" s="14">
        <f t="shared" si="4"/>
        <v>0</v>
      </c>
      <c r="N18" s="14">
        <f t="shared" si="5"/>
        <v>3</v>
      </c>
      <c r="O18" s="14" t="str">
        <f t="shared" si="6"/>
        <v>일반</v>
      </c>
      <c r="P18" s="14">
        <f>RawData!P15</f>
        <v>0</v>
      </c>
    </row>
    <row r="19" spans="1:16">
      <c r="A19" s="14">
        <v>11</v>
      </c>
      <c r="B19" s="14" t="str">
        <f>RawData!B16</f>
        <v>강남대로</v>
      </c>
      <c r="C19" s="14" t="str">
        <f>RIGHT(RawData!$A$2,2)&amp;"-"&amp;RawData!$C$2&amp;"-"&amp;RawData!A16</f>
        <v>25-서초구-11</v>
      </c>
      <c r="D19" s="14" t="str">
        <f>RawData!D16</f>
        <v>양호</v>
      </c>
      <c r="E19" s="14" t="str">
        <f>RawData!E16</f>
        <v>거북등</v>
      </c>
      <c r="F19" s="14" t="str">
        <f>RawData!F16</f>
        <v>양호</v>
      </c>
      <c r="G19" s="14">
        <f>RawData!G16</f>
        <v>2</v>
      </c>
      <c r="H19" s="14" t="str">
        <f>RawData!H16</f>
        <v>-</v>
      </c>
      <c r="I19" s="14">
        <f t="shared" si="0"/>
        <v>0</v>
      </c>
      <c r="J19" s="14">
        <f t="shared" si="1"/>
        <v>3</v>
      </c>
      <c r="K19" s="14">
        <f t="shared" si="2"/>
        <v>0</v>
      </c>
      <c r="L19" s="14">
        <f t="shared" si="3"/>
        <v>0</v>
      </c>
      <c r="M19" s="14">
        <f t="shared" si="4"/>
        <v>0</v>
      </c>
      <c r="N19" s="14">
        <f t="shared" si="5"/>
        <v>3</v>
      </c>
      <c r="O19" s="14" t="str">
        <f t="shared" si="6"/>
        <v>일반</v>
      </c>
      <c r="P19" s="14" t="str">
        <f>RawData!P16</f>
        <v>5cm미만 침하</v>
      </c>
    </row>
    <row r="20" spans="1:16">
      <c r="A20" s="14">
        <v>12</v>
      </c>
      <c r="B20" s="14" t="str">
        <f>RawData!B17</f>
        <v>강남대로</v>
      </c>
      <c r="C20" s="14" t="str">
        <f>RIGHT(RawData!$A$2,2)&amp;"-"&amp;RawData!$C$2&amp;"-"&amp;RawData!A17</f>
        <v>25-서초구-12</v>
      </c>
      <c r="D20" s="14" t="str">
        <f>RawData!D17</f>
        <v>양호</v>
      </c>
      <c r="E20" s="14" t="str">
        <f>RawData!E17</f>
        <v>거북등</v>
      </c>
      <c r="F20" s="14" t="str">
        <f>RawData!F17</f>
        <v>양호</v>
      </c>
      <c r="G20" s="14">
        <f>RawData!G17</f>
        <v>2</v>
      </c>
      <c r="H20" s="14" t="str">
        <f>RawData!H17</f>
        <v>-</v>
      </c>
      <c r="I20" s="14">
        <f t="shared" si="0"/>
        <v>0</v>
      </c>
      <c r="J20" s="14">
        <f t="shared" si="1"/>
        <v>3</v>
      </c>
      <c r="K20" s="14">
        <f t="shared" si="2"/>
        <v>0</v>
      </c>
      <c r="L20" s="14">
        <f t="shared" si="3"/>
        <v>0</v>
      </c>
      <c r="M20" s="14">
        <f t="shared" si="4"/>
        <v>0</v>
      </c>
      <c r="N20" s="14">
        <f t="shared" si="5"/>
        <v>3</v>
      </c>
      <c r="O20" s="14" t="str">
        <f t="shared" si="6"/>
        <v>일반</v>
      </c>
      <c r="P20" s="14" t="str">
        <f>RawData!P17</f>
        <v>5cm미만 침하</v>
      </c>
    </row>
    <row r="21" spans="1:16">
      <c r="A21" s="14">
        <v>13</v>
      </c>
      <c r="B21" s="14" t="str">
        <f>RawData!B18</f>
        <v>강남대로</v>
      </c>
      <c r="C21" s="14" t="str">
        <f>RIGHT(RawData!$A$2,2)&amp;"-"&amp;RawData!$C$2&amp;"-"&amp;RawData!A18</f>
        <v>25-서초구-13</v>
      </c>
      <c r="D21" s="14" t="str">
        <f>RawData!D18</f>
        <v>양호</v>
      </c>
      <c r="E21" s="14" t="str">
        <f>RawData!E18</f>
        <v>거북등</v>
      </c>
      <c r="F21" s="14" t="str">
        <f>RawData!F18</f>
        <v>양호</v>
      </c>
      <c r="G21" s="14">
        <f>RawData!G18</f>
        <v>2</v>
      </c>
      <c r="H21" s="14" t="str">
        <f>RawData!H18</f>
        <v>-</v>
      </c>
      <c r="I21" s="14">
        <f t="shared" si="0"/>
        <v>0</v>
      </c>
      <c r="J21" s="14">
        <f t="shared" si="1"/>
        <v>3</v>
      </c>
      <c r="K21" s="14">
        <f t="shared" si="2"/>
        <v>0</v>
      </c>
      <c r="L21" s="14">
        <f t="shared" si="3"/>
        <v>0</v>
      </c>
      <c r="M21" s="14">
        <f t="shared" si="4"/>
        <v>0</v>
      </c>
      <c r="N21" s="14">
        <f t="shared" si="5"/>
        <v>3</v>
      </c>
      <c r="O21" s="14" t="str">
        <f t="shared" si="6"/>
        <v>일반</v>
      </c>
      <c r="P21" s="14" t="str">
        <f>RawData!P18</f>
        <v>5cm미만 침하</v>
      </c>
    </row>
    <row r="22" spans="1:16">
      <c r="A22" s="14">
        <v>14</v>
      </c>
      <c r="B22" s="14" t="str">
        <f>RawData!B19</f>
        <v>강남대로</v>
      </c>
      <c r="C22" s="14" t="str">
        <f>RIGHT(RawData!$A$2,2)&amp;"-"&amp;RawData!$C$2&amp;"-"&amp;RawData!A19</f>
        <v>25-서초구-14</v>
      </c>
      <c r="D22" s="14" t="str">
        <f>RawData!D19</f>
        <v>양호</v>
      </c>
      <c r="E22" s="14" t="str">
        <f>RawData!E19</f>
        <v>-</v>
      </c>
      <c r="F22" s="14" t="str">
        <f>RawData!F19</f>
        <v>양호</v>
      </c>
      <c r="G22" s="14">
        <f>RawData!G19</f>
        <v>2</v>
      </c>
      <c r="H22" s="14" t="str">
        <f>RawData!H19</f>
        <v>-</v>
      </c>
      <c r="I22" s="14">
        <f t="shared" si="0"/>
        <v>0</v>
      </c>
      <c r="J22" s="14">
        <f t="shared" si="1"/>
        <v>0</v>
      </c>
      <c r="K22" s="14">
        <f t="shared" si="2"/>
        <v>0</v>
      </c>
      <c r="L22" s="14">
        <f t="shared" si="3"/>
        <v>0</v>
      </c>
      <c r="M22" s="14">
        <f t="shared" si="4"/>
        <v>0</v>
      </c>
      <c r="N22" s="14">
        <f t="shared" si="5"/>
        <v>0</v>
      </c>
      <c r="O22" s="14" t="str">
        <f t="shared" si="6"/>
        <v>일반</v>
      </c>
      <c r="P22" s="14" t="str">
        <f>RawData!P19</f>
        <v>보도침하(5cm)</v>
      </c>
    </row>
    <row r="23" spans="1:16">
      <c r="A23" s="14">
        <v>15</v>
      </c>
      <c r="B23" s="14" t="str">
        <f>RawData!B20</f>
        <v>강남대로</v>
      </c>
      <c r="C23" s="14" t="str">
        <f>RIGHT(RawData!$A$2,2)&amp;"-"&amp;RawData!$C$2&amp;"-"&amp;RawData!A20</f>
        <v>25-서초구-15</v>
      </c>
      <c r="D23" s="14" t="str">
        <f>RawData!D20</f>
        <v>양호</v>
      </c>
      <c r="E23" s="14" t="str">
        <f>RawData!E20</f>
        <v>거북등</v>
      </c>
      <c r="F23" s="14" t="str">
        <f>RawData!F20</f>
        <v>양호</v>
      </c>
      <c r="G23" s="14">
        <f>RawData!G20</f>
        <v>2</v>
      </c>
      <c r="H23" s="14" t="str">
        <f>RawData!H20</f>
        <v>-</v>
      </c>
      <c r="I23" s="14">
        <f t="shared" si="0"/>
        <v>0</v>
      </c>
      <c r="J23" s="14">
        <f t="shared" si="1"/>
        <v>3</v>
      </c>
      <c r="K23" s="14">
        <f t="shared" si="2"/>
        <v>0</v>
      </c>
      <c r="L23" s="14">
        <f t="shared" si="3"/>
        <v>0</v>
      </c>
      <c r="M23" s="14">
        <f t="shared" si="4"/>
        <v>0</v>
      </c>
      <c r="N23" s="14">
        <f t="shared" si="5"/>
        <v>3</v>
      </c>
      <c r="O23" s="14" t="str">
        <f t="shared" si="6"/>
        <v>일반</v>
      </c>
      <c r="P23" s="14">
        <f>RawData!P20</f>
        <v>0</v>
      </c>
    </row>
    <row r="24" spans="1:16">
      <c r="A24" s="14">
        <v>16</v>
      </c>
      <c r="B24" s="14" t="str">
        <f>RawData!B21</f>
        <v>강남대로</v>
      </c>
      <c r="C24" s="14" t="str">
        <f>RIGHT(RawData!$A$2,2)&amp;"-"&amp;RawData!$C$2&amp;"-"&amp;RawData!A21</f>
        <v>25-서초구-16</v>
      </c>
      <c r="D24" s="14" t="str">
        <f>RawData!D21</f>
        <v>양호</v>
      </c>
      <c r="E24" s="14" t="str">
        <f>RawData!E21</f>
        <v>거북등</v>
      </c>
      <c r="F24" s="14" t="str">
        <f>RawData!F21</f>
        <v>양호</v>
      </c>
      <c r="G24" s="14">
        <f>RawData!G21</f>
        <v>2</v>
      </c>
      <c r="H24" s="14" t="str">
        <f>RawData!H21</f>
        <v>-</v>
      </c>
      <c r="I24" s="14">
        <f t="shared" si="0"/>
        <v>0</v>
      </c>
      <c r="J24" s="14">
        <f t="shared" si="1"/>
        <v>3</v>
      </c>
      <c r="K24" s="14">
        <f t="shared" si="2"/>
        <v>0</v>
      </c>
      <c r="L24" s="14">
        <f t="shared" si="3"/>
        <v>0</v>
      </c>
      <c r="M24" s="14">
        <f t="shared" si="4"/>
        <v>0</v>
      </c>
      <c r="N24" s="14">
        <f t="shared" si="5"/>
        <v>3</v>
      </c>
      <c r="O24" s="14" t="str">
        <f t="shared" si="6"/>
        <v>일반</v>
      </c>
      <c r="P24" s="14">
        <f>RawData!P21</f>
        <v>0</v>
      </c>
    </row>
    <row r="25" spans="1:16">
      <c r="A25" s="14">
        <v>17</v>
      </c>
      <c r="B25" s="14" t="str">
        <f>RawData!B22</f>
        <v>강남대로</v>
      </c>
      <c r="C25" s="14" t="str">
        <f>RIGHT(RawData!$A$2,2)&amp;"-"&amp;RawData!$C$2&amp;"-"&amp;RawData!A22</f>
        <v>25-서초구-17</v>
      </c>
      <c r="D25" s="14" t="str">
        <f>RawData!D22</f>
        <v>양호</v>
      </c>
      <c r="E25" s="14" t="str">
        <f>RawData!E22</f>
        <v>거북등</v>
      </c>
      <c r="F25" s="14" t="str">
        <f>RawData!F22</f>
        <v>양호</v>
      </c>
      <c r="G25" s="14">
        <f>RawData!G22</f>
        <v>2</v>
      </c>
      <c r="H25" s="14" t="str">
        <f>RawData!H22</f>
        <v>-</v>
      </c>
      <c r="I25" s="14">
        <f t="shared" si="0"/>
        <v>0</v>
      </c>
      <c r="J25" s="14">
        <f t="shared" si="1"/>
        <v>3</v>
      </c>
      <c r="K25" s="14">
        <f t="shared" si="2"/>
        <v>0</v>
      </c>
      <c r="L25" s="14">
        <f t="shared" si="3"/>
        <v>0</v>
      </c>
      <c r="M25" s="14">
        <f t="shared" si="4"/>
        <v>0</v>
      </c>
      <c r="N25" s="14">
        <f t="shared" si="5"/>
        <v>3</v>
      </c>
      <c r="O25" s="14" t="str">
        <f t="shared" si="6"/>
        <v>일반</v>
      </c>
      <c r="P25" s="14" t="str">
        <f>RawData!P22</f>
        <v>5cm미만 침하</v>
      </c>
    </row>
    <row r="26" spans="1:16">
      <c r="A26" s="14">
        <v>18</v>
      </c>
      <c r="B26" s="14" t="str">
        <f>RawData!B23</f>
        <v>강남대로</v>
      </c>
      <c r="C26" s="14" t="str">
        <f>RIGHT(RawData!$A$2,2)&amp;"-"&amp;RawData!$C$2&amp;"-"&amp;RawData!A23</f>
        <v>25-서초구-18</v>
      </c>
      <c r="D26" s="14" t="str">
        <f>RawData!D23</f>
        <v>양호</v>
      </c>
      <c r="E26" s="14" t="str">
        <f>RawData!E23</f>
        <v>거북등</v>
      </c>
      <c r="F26" s="14" t="str">
        <f>RawData!F23</f>
        <v>양호</v>
      </c>
      <c r="G26" s="14">
        <f>RawData!G23</f>
        <v>2</v>
      </c>
      <c r="H26" s="14" t="str">
        <f>RawData!H23</f>
        <v>-</v>
      </c>
      <c r="I26" s="14">
        <f t="shared" si="0"/>
        <v>0</v>
      </c>
      <c r="J26" s="14">
        <f t="shared" si="1"/>
        <v>3</v>
      </c>
      <c r="K26" s="14">
        <f t="shared" si="2"/>
        <v>0</v>
      </c>
      <c r="L26" s="14">
        <f t="shared" si="3"/>
        <v>0</v>
      </c>
      <c r="M26" s="14">
        <f t="shared" si="4"/>
        <v>0</v>
      </c>
      <c r="N26" s="14">
        <f t="shared" si="5"/>
        <v>3</v>
      </c>
      <c r="O26" s="14" t="str">
        <f t="shared" si="6"/>
        <v>일반</v>
      </c>
      <c r="P26" s="14">
        <f>RawData!P23</f>
        <v>0</v>
      </c>
    </row>
    <row r="27" spans="1:16" ht="6.75" customHeight="1">
      <c r="A27" s="19">
        <v>19</v>
      </c>
      <c r="B27" s="19" t="str">
        <f>RawData!B24</f>
        <v>강남대로</v>
      </c>
      <c r="C27" s="19" t="str">
        <f>RIGHT(RawData!$A$2,2)&amp;"-"&amp;RawData!$C$2&amp;"-"&amp;RawData!A24</f>
        <v>25-서초구-19</v>
      </c>
      <c r="D27" s="19" t="str">
        <f>RawData!D24</f>
        <v>양호</v>
      </c>
      <c r="E27" s="19" t="str">
        <f>RawData!E24</f>
        <v>거북등</v>
      </c>
      <c r="F27" s="19" t="str">
        <f>RawData!F24</f>
        <v>양호</v>
      </c>
      <c r="G27" s="19">
        <f>RawData!G24</f>
        <v>2</v>
      </c>
      <c r="H27" s="19" t="str">
        <f>RawData!H24</f>
        <v>-</v>
      </c>
      <c r="I27" s="19">
        <f t="shared" si="0"/>
        <v>0</v>
      </c>
      <c r="J27" s="19">
        <f t="shared" si="1"/>
        <v>3</v>
      </c>
      <c r="K27" s="19">
        <f t="shared" si="2"/>
        <v>0</v>
      </c>
      <c r="L27" s="19">
        <f t="shared" si="3"/>
        <v>0</v>
      </c>
      <c r="M27" s="19">
        <f t="shared" si="4"/>
        <v>0</v>
      </c>
      <c r="N27" s="19">
        <f t="shared" si="5"/>
        <v>3</v>
      </c>
      <c r="O27" s="19" t="str">
        <f t="shared" si="6"/>
        <v>일반</v>
      </c>
      <c r="P27" s="19">
        <f>RawData!P24</f>
        <v>0</v>
      </c>
    </row>
    <row r="28" spans="1:16">
      <c r="A28" s="23">
        <v>20</v>
      </c>
      <c r="B28" s="13" t="str">
        <f>RawData!B25</f>
        <v>강남대로</v>
      </c>
      <c r="C28" s="21" t="str">
        <f>RIGHT(RawData!$A$2,2)&amp;"-"&amp;RawData!$C$2&amp;"-"&amp;RawData!A25</f>
        <v>25-서초구-20</v>
      </c>
      <c r="D28" s="21" t="str">
        <f>RawData!D25</f>
        <v>양호</v>
      </c>
      <c r="E28" s="21" t="str">
        <f>RawData!E25</f>
        <v>종균열</v>
      </c>
      <c r="F28" s="21" t="str">
        <f>RawData!F25</f>
        <v>양호</v>
      </c>
      <c r="G28" s="21">
        <f>RawData!G25</f>
        <v>2</v>
      </c>
      <c r="H28" s="21" t="str">
        <f>RawData!H25</f>
        <v>-</v>
      </c>
      <c r="I28" s="21">
        <f t="shared" si="0"/>
        <v>0</v>
      </c>
      <c r="J28" s="21">
        <f t="shared" si="1"/>
        <v>1</v>
      </c>
      <c r="K28" s="21">
        <f t="shared" si="2"/>
        <v>0</v>
      </c>
      <c r="L28" s="21">
        <f t="shared" si="3"/>
        <v>0</v>
      </c>
      <c r="M28" s="21">
        <f t="shared" si="4"/>
        <v>0</v>
      </c>
      <c r="N28" s="21">
        <f t="shared" si="5"/>
        <v>1</v>
      </c>
      <c r="O28" s="21" t="str">
        <f t="shared" si="6"/>
        <v>일반</v>
      </c>
      <c r="P28" s="21">
        <f>RawData!P25</f>
        <v>0</v>
      </c>
    </row>
    <row r="29" spans="1:16">
      <c r="A29" s="21">
        <v>21</v>
      </c>
      <c r="B29" s="21" t="str">
        <f>RawData!B26</f>
        <v>강남대로</v>
      </c>
      <c r="C29" s="21" t="str">
        <f>RIGHT(RawData!$A$2,2)&amp;"-"&amp;RawData!$C$2&amp;"-"&amp;RawData!A26</f>
        <v>25-서초구-21</v>
      </c>
      <c r="D29" s="21" t="str">
        <f>RawData!D26</f>
        <v>양호</v>
      </c>
      <c r="E29" s="21" t="str">
        <f>RawData!E26</f>
        <v>거북등</v>
      </c>
      <c r="F29" s="21" t="str">
        <f>RawData!F26</f>
        <v>양호</v>
      </c>
      <c r="G29" s="21">
        <f>RawData!G26</f>
        <v>2</v>
      </c>
      <c r="H29" s="21" t="str">
        <f>RawData!H26</f>
        <v>-</v>
      </c>
      <c r="I29" s="21">
        <f t="shared" si="0"/>
        <v>0</v>
      </c>
      <c r="J29" s="21">
        <f t="shared" si="1"/>
        <v>3</v>
      </c>
      <c r="K29" s="21">
        <f t="shared" si="2"/>
        <v>0</v>
      </c>
      <c r="L29" s="21">
        <f t="shared" si="3"/>
        <v>0</v>
      </c>
      <c r="M29" s="21">
        <f t="shared" si="4"/>
        <v>0</v>
      </c>
      <c r="N29" s="21">
        <f t="shared" si="5"/>
        <v>3</v>
      </c>
      <c r="O29" s="21" t="str">
        <f t="shared" si="6"/>
        <v>일반</v>
      </c>
      <c r="P29" s="21">
        <f>RawData!P26</f>
        <v>0</v>
      </c>
    </row>
    <row r="30" spans="1:16">
      <c r="A30" s="21">
        <v>22</v>
      </c>
      <c r="B30" s="21" t="str">
        <f>RawData!B27</f>
        <v>강남대로</v>
      </c>
      <c r="C30" s="21" t="str">
        <f>RIGHT(RawData!$A$2,2)&amp;"-"&amp;RawData!$C$2&amp;"-"&amp;RawData!A27</f>
        <v>25-서초구-22</v>
      </c>
      <c r="D30" s="21" t="str">
        <f>RawData!D27</f>
        <v>양호</v>
      </c>
      <c r="E30" s="21" t="str">
        <f>RawData!E27</f>
        <v>거북등</v>
      </c>
      <c r="F30" s="21" t="str">
        <f>RawData!F27</f>
        <v>양호</v>
      </c>
      <c r="G30" s="21">
        <f>RawData!G27</f>
        <v>2</v>
      </c>
      <c r="H30" s="21" t="str">
        <f>RawData!H27</f>
        <v>-</v>
      </c>
      <c r="I30" s="21">
        <f t="shared" si="0"/>
        <v>0</v>
      </c>
      <c r="J30" s="21">
        <f t="shared" si="1"/>
        <v>3</v>
      </c>
      <c r="K30" s="21">
        <f t="shared" si="2"/>
        <v>0</v>
      </c>
      <c r="L30" s="21">
        <f t="shared" si="3"/>
        <v>0</v>
      </c>
      <c r="M30" s="21">
        <f t="shared" si="4"/>
        <v>0</v>
      </c>
      <c r="N30" s="21">
        <f t="shared" si="5"/>
        <v>3</v>
      </c>
      <c r="O30" s="21" t="str">
        <f t="shared" si="6"/>
        <v>일반</v>
      </c>
      <c r="P30" s="21">
        <f>RawData!P27</f>
        <v>0</v>
      </c>
    </row>
    <row r="31" spans="1:16">
      <c r="A31" s="21">
        <v>23</v>
      </c>
      <c r="B31" s="21" t="str">
        <f>RawData!B28</f>
        <v>강남대로</v>
      </c>
      <c r="C31" s="21" t="str">
        <f>RIGHT(RawData!$A$2,2)&amp;"-"&amp;RawData!$C$2&amp;"-"&amp;RawData!A28</f>
        <v>25-서초구-23</v>
      </c>
      <c r="D31" s="21" t="str">
        <f>RawData!D28</f>
        <v>양호</v>
      </c>
      <c r="E31" s="21" t="str">
        <f>RawData!E28</f>
        <v>-</v>
      </c>
      <c r="F31" s="21" t="str">
        <f>RawData!F28</f>
        <v>양호</v>
      </c>
      <c r="G31" s="21">
        <f>RawData!G28</f>
        <v>2</v>
      </c>
      <c r="H31" s="21" t="str">
        <f>RawData!H28</f>
        <v>-</v>
      </c>
      <c r="I31" s="21">
        <f t="shared" si="0"/>
        <v>0</v>
      </c>
      <c r="J31" s="21">
        <f t="shared" si="1"/>
        <v>0</v>
      </c>
      <c r="K31" s="21">
        <f t="shared" si="2"/>
        <v>0</v>
      </c>
      <c r="L31" s="21">
        <f t="shared" si="3"/>
        <v>0</v>
      </c>
      <c r="M31" s="21">
        <f t="shared" si="4"/>
        <v>0</v>
      </c>
      <c r="N31" s="21">
        <f t="shared" si="5"/>
        <v>0</v>
      </c>
      <c r="O31" s="21" t="str">
        <f t="shared" si="6"/>
        <v>일반</v>
      </c>
      <c r="P31" s="21" t="str">
        <f>RawData!P28</f>
        <v>보도침하</v>
      </c>
    </row>
    <row r="32" spans="1:16">
      <c r="A32" s="21">
        <v>24</v>
      </c>
      <c r="B32" s="21" t="str">
        <f>RawData!B29</f>
        <v>강남대로</v>
      </c>
      <c r="C32" s="21" t="str">
        <f>RIGHT(RawData!$A$2,2)&amp;"-"&amp;RawData!$C$2&amp;"-"&amp;RawData!A29</f>
        <v>25-서초구-24</v>
      </c>
      <c r="D32" s="21" t="str">
        <f>RawData!D29</f>
        <v>양호</v>
      </c>
      <c r="E32" s="21" t="str">
        <f>RawData!E29</f>
        <v>거북등</v>
      </c>
      <c r="F32" s="21" t="str">
        <f>RawData!F29</f>
        <v>양호</v>
      </c>
      <c r="G32" s="21">
        <f>RawData!G29</f>
        <v>2</v>
      </c>
      <c r="H32" s="21" t="str">
        <f>RawData!H29</f>
        <v>-</v>
      </c>
      <c r="I32" s="21">
        <f t="shared" si="0"/>
        <v>0</v>
      </c>
      <c r="J32" s="21">
        <f t="shared" si="1"/>
        <v>3</v>
      </c>
      <c r="K32" s="21">
        <f t="shared" si="2"/>
        <v>0</v>
      </c>
      <c r="L32" s="21">
        <f t="shared" si="3"/>
        <v>0</v>
      </c>
      <c r="M32" s="21">
        <f t="shared" si="4"/>
        <v>0</v>
      </c>
      <c r="N32" s="21">
        <f t="shared" si="5"/>
        <v>3</v>
      </c>
      <c r="O32" s="21" t="str">
        <f t="shared" si="6"/>
        <v>일반</v>
      </c>
      <c r="P32" s="21">
        <f>RawData!P29</f>
        <v>0</v>
      </c>
    </row>
    <row r="33" spans="1:16">
      <c r="A33" s="21">
        <v>25</v>
      </c>
      <c r="B33" s="21" t="str">
        <f>RawData!B30</f>
        <v>강남대로</v>
      </c>
      <c r="C33" s="21" t="str">
        <f>RIGHT(RawData!$A$2,2)&amp;"-"&amp;RawData!$C$2&amp;"-"&amp;RawData!A30</f>
        <v>25-서초구-25</v>
      </c>
      <c r="D33" s="21" t="str">
        <f>RawData!D30</f>
        <v>양호</v>
      </c>
      <c r="E33" s="21" t="str">
        <f>RawData!E30</f>
        <v>거북등</v>
      </c>
      <c r="F33" s="21" t="str">
        <f>RawData!F30</f>
        <v>양호</v>
      </c>
      <c r="G33" s="21">
        <f>RawData!G30</f>
        <v>2</v>
      </c>
      <c r="H33" s="21" t="str">
        <f>RawData!H30</f>
        <v>-</v>
      </c>
      <c r="I33" s="21">
        <f t="shared" si="0"/>
        <v>0</v>
      </c>
      <c r="J33" s="21">
        <f t="shared" si="1"/>
        <v>3</v>
      </c>
      <c r="K33" s="21">
        <f t="shared" si="2"/>
        <v>0</v>
      </c>
      <c r="L33" s="21">
        <f t="shared" si="3"/>
        <v>0</v>
      </c>
      <c r="M33" s="21">
        <f t="shared" si="4"/>
        <v>0</v>
      </c>
      <c r="N33" s="21">
        <f t="shared" si="5"/>
        <v>3</v>
      </c>
      <c r="O33" s="21" t="str">
        <f t="shared" si="6"/>
        <v>일반</v>
      </c>
      <c r="P33" s="21">
        <f>RawData!P30</f>
        <v>0</v>
      </c>
    </row>
    <row r="34" spans="1:16">
      <c r="A34" s="21">
        <v>26</v>
      </c>
      <c r="B34" s="21" t="str">
        <f>RawData!B31</f>
        <v>강남대로</v>
      </c>
      <c r="C34" s="21" t="str">
        <f>RIGHT(RawData!$A$2,2)&amp;"-"&amp;RawData!$C$2&amp;"-"&amp;RawData!A31</f>
        <v>25-서초구-26</v>
      </c>
      <c r="D34" s="21" t="str">
        <f>RawData!D31</f>
        <v>양호</v>
      </c>
      <c r="E34" s="21" t="str">
        <f>RawData!E31</f>
        <v>거북등</v>
      </c>
      <c r="F34" s="21" t="str">
        <f>RawData!F31</f>
        <v>양호</v>
      </c>
      <c r="G34" s="21">
        <f>RawData!G31</f>
        <v>2</v>
      </c>
      <c r="H34" s="21" t="str">
        <f>RawData!H31</f>
        <v>-</v>
      </c>
      <c r="I34" s="21">
        <f t="shared" si="0"/>
        <v>0</v>
      </c>
      <c r="J34" s="21">
        <f t="shared" si="1"/>
        <v>3</v>
      </c>
      <c r="K34" s="21">
        <f t="shared" si="2"/>
        <v>0</v>
      </c>
      <c r="L34" s="21">
        <f t="shared" si="3"/>
        <v>0</v>
      </c>
      <c r="M34" s="21">
        <f t="shared" si="4"/>
        <v>0</v>
      </c>
      <c r="N34" s="21">
        <f t="shared" si="5"/>
        <v>3</v>
      </c>
      <c r="O34" s="21" t="str">
        <f t="shared" si="6"/>
        <v>일반</v>
      </c>
      <c r="P34" s="21">
        <f>RawData!P31</f>
        <v>0</v>
      </c>
    </row>
    <row r="35" spans="1:16">
      <c r="A35" s="21">
        <v>27</v>
      </c>
      <c r="B35" s="21" t="str">
        <f>RawData!B32</f>
        <v>강남대로</v>
      </c>
      <c r="C35" s="21" t="str">
        <f>RIGHT(RawData!$A$2,2)&amp;"-"&amp;RawData!$C$2&amp;"-"&amp;RawData!A32</f>
        <v>25-서초구-27</v>
      </c>
      <c r="D35" s="21" t="str">
        <f>RawData!D32</f>
        <v>양호</v>
      </c>
      <c r="E35" s="21" t="str">
        <f>RawData!E32</f>
        <v>종균열</v>
      </c>
      <c r="F35" s="21" t="str">
        <f>RawData!F32</f>
        <v>양호</v>
      </c>
      <c r="G35" s="21">
        <f>RawData!G32</f>
        <v>2</v>
      </c>
      <c r="H35" s="21" t="str">
        <f>RawData!H32</f>
        <v>-</v>
      </c>
      <c r="I35" s="21">
        <f t="shared" si="0"/>
        <v>0</v>
      </c>
      <c r="J35" s="21">
        <f t="shared" si="1"/>
        <v>1</v>
      </c>
      <c r="K35" s="21">
        <f t="shared" si="2"/>
        <v>0</v>
      </c>
      <c r="L35" s="21">
        <f t="shared" si="3"/>
        <v>0</v>
      </c>
      <c r="M35" s="21">
        <f t="shared" si="4"/>
        <v>0</v>
      </c>
      <c r="N35" s="21">
        <f t="shared" si="5"/>
        <v>1</v>
      </c>
      <c r="O35" s="21" t="str">
        <f t="shared" si="6"/>
        <v>일반</v>
      </c>
      <c r="P35" s="21">
        <f>RawData!P32</f>
        <v>0</v>
      </c>
    </row>
    <row r="36" spans="1:16">
      <c r="A36" s="21">
        <v>28</v>
      </c>
      <c r="B36" s="21" t="str">
        <f>RawData!B33</f>
        <v>강남대로</v>
      </c>
      <c r="C36" s="21" t="str">
        <f>RIGHT(RawData!$A$2,2)&amp;"-"&amp;RawData!$C$2&amp;"-"&amp;RawData!A33</f>
        <v>25-서초구-28</v>
      </c>
      <c r="D36" s="21" t="str">
        <f>RawData!D33</f>
        <v>양호</v>
      </c>
      <c r="E36" s="21" t="str">
        <f>RawData!E33</f>
        <v>거북등</v>
      </c>
      <c r="F36" s="21" t="str">
        <f>RawData!F33</f>
        <v>양호</v>
      </c>
      <c r="G36" s="21">
        <f>RawData!G33</f>
        <v>2</v>
      </c>
      <c r="H36" s="21" t="str">
        <f>RawData!H33</f>
        <v>-</v>
      </c>
      <c r="I36" s="21">
        <f t="shared" si="0"/>
        <v>0</v>
      </c>
      <c r="J36" s="21">
        <f t="shared" si="1"/>
        <v>3</v>
      </c>
      <c r="K36" s="21">
        <f t="shared" si="2"/>
        <v>0</v>
      </c>
      <c r="L36" s="21">
        <f t="shared" si="3"/>
        <v>0</v>
      </c>
      <c r="M36" s="21">
        <f t="shared" si="4"/>
        <v>0</v>
      </c>
      <c r="N36" s="21">
        <f t="shared" si="5"/>
        <v>3</v>
      </c>
      <c r="O36" s="21" t="str">
        <f t="shared" si="6"/>
        <v>일반</v>
      </c>
      <c r="P36" s="21">
        <f>RawData!P33</f>
        <v>0</v>
      </c>
    </row>
    <row r="37" spans="1:16">
      <c r="A37" s="21">
        <v>29</v>
      </c>
      <c r="B37" s="21" t="str">
        <f>RawData!B34</f>
        <v>강남대로</v>
      </c>
      <c r="C37" s="21" t="str">
        <f>RIGHT(RawData!$A$2,2)&amp;"-"&amp;RawData!$C$2&amp;"-"&amp;RawData!A34</f>
        <v>25-서초구-29</v>
      </c>
      <c r="D37" s="21" t="str">
        <f>RawData!D34</f>
        <v>양호</v>
      </c>
      <c r="E37" s="21" t="str">
        <f>RawData!E34</f>
        <v>거북등</v>
      </c>
      <c r="F37" s="21" t="str">
        <f>RawData!F34</f>
        <v>양호</v>
      </c>
      <c r="G37" s="21">
        <f>RawData!G34</f>
        <v>2</v>
      </c>
      <c r="H37" s="21" t="str">
        <f>RawData!H34</f>
        <v>-</v>
      </c>
      <c r="I37" s="21">
        <f t="shared" si="0"/>
        <v>0</v>
      </c>
      <c r="J37" s="21">
        <f t="shared" si="1"/>
        <v>3</v>
      </c>
      <c r="K37" s="21">
        <f t="shared" si="2"/>
        <v>0</v>
      </c>
      <c r="L37" s="21">
        <f t="shared" si="3"/>
        <v>0</v>
      </c>
      <c r="M37" s="21">
        <f t="shared" si="4"/>
        <v>0</v>
      </c>
      <c r="N37" s="21">
        <f t="shared" si="5"/>
        <v>3</v>
      </c>
      <c r="O37" s="21" t="str">
        <f t="shared" si="6"/>
        <v>일반</v>
      </c>
      <c r="P37" s="21">
        <f>RawData!P34</f>
        <v>0</v>
      </c>
    </row>
    <row r="38" spans="1:16">
      <c r="A38" s="21">
        <v>30</v>
      </c>
      <c r="B38" s="21" t="str">
        <f>RawData!B35</f>
        <v>강남대로</v>
      </c>
      <c r="C38" s="21" t="str">
        <f>RIGHT(RawData!$A$2,2)&amp;"-"&amp;RawData!$C$2&amp;"-"&amp;RawData!A35</f>
        <v>25-서초구-30</v>
      </c>
      <c r="D38" s="21" t="str">
        <f>RawData!D35</f>
        <v>양호</v>
      </c>
      <c r="E38" s="21" t="str">
        <f>RawData!E35</f>
        <v>거북등</v>
      </c>
      <c r="F38" s="21" t="str">
        <f>RawData!F35</f>
        <v>양호</v>
      </c>
      <c r="G38" s="21">
        <f>RawData!G35</f>
        <v>2</v>
      </c>
      <c r="H38" s="21" t="str">
        <f>RawData!H35</f>
        <v>-</v>
      </c>
      <c r="I38" s="21">
        <f t="shared" si="0"/>
        <v>0</v>
      </c>
      <c r="J38" s="21">
        <f t="shared" si="1"/>
        <v>3</v>
      </c>
      <c r="K38" s="21">
        <f t="shared" si="2"/>
        <v>0</v>
      </c>
      <c r="L38" s="21">
        <f t="shared" si="3"/>
        <v>0</v>
      </c>
      <c r="M38" s="21">
        <f t="shared" si="4"/>
        <v>0</v>
      </c>
      <c r="N38" s="21">
        <f t="shared" si="5"/>
        <v>3</v>
      </c>
      <c r="O38" s="21" t="str">
        <f t="shared" si="6"/>
        <v>일반</v>
      </c>
      <c r="P38" s="21" t="str">
        <f>RawData!P35</f>
        <v>5cm미만 침하</v>
      </c>
    </row>
    <row r="39" spans="1:16">
      <c r="A39" s="21">
        <v>31</v>
      </c>
      <c r="B39" s="21" t="str">
        <f>RawData!B36</f>
        <v>강남대로</v>
      </c>
      <c r="C39" s="21" t="str">
        <f>RIGHT(RawData!$A$2,2)&amp;"-"&amp;RawData!$C$2&amp;"-"&amp;RawData!A36</f>
        <v>25-서초구-31</v>
      </c>
      <c r="D39" s="21" t="str">
        <f>RawData!D36</f>
        <v>양호</v>
      </c>
      <c r="E39" s="21" t="str">
        <f>RawData!E36</f>
        <v>거북등</v>
      </c>
      <c r="F39" s="21" t="str">
        <f>RawData!F36</f>
        <v>양호</v>
      </c>
      <c r="G39" s="21">
        <f>RawData!G36</f>
        <v>2</v>
      </c>
      <c r="H39" s="21" t="str">
        <f>RawData!H36</f>
        <v>-</v>
      </c>
      <c r="I39" s="21">
        <f t="shared" si="0"/>
        <v>0</v>
      </c>
      <c r="J39" s="21">
        <f t="shared" si="1"/>
        <v>3</v>
      </c>
      <c r="K39" s="21">
        <f t="shared" si="2"/>
        <v>0</v>
      </c>
      <c r="L39" s="21">
        <f t="shared" si="3"/>
        <v>0</v>
      </c>
      <c r="M39" s="21">
        <f t="shared" si="4"/>
        <v>0</v>
      </c>
      <c r="N39" s="21">
        <f t="shared" si="5"/>
        <v>3</v>
      </c>
      <c r="O39" s="21" t="str">
        <f t="shared" si="6"/>
        <v>일반</v>
      </c>
      <c r="P39" s="21" t="str">
        <f>RawData!P36</f>
        <v>5cm미만 침하</v>
      </c>
    </row>
    <row r="40" spans="1:16">
      <c r="A40" s="21">
        <v>32</v>
      </c>
      <c r="B40" s="21" t="str">
        <f>RawData!B37</f>
        <v>강남대로</v>
      </c>
      <c r="C40" s="21" t="str">
        <f>RIGHT(RawData!$A$2,2)&amp;"-"&amp;RawData!$C$2&amp;"-"&amp;RawData!A37</f>
        <v>25-서초구-32</v>
      </c>
      <c r="D40" s="21" t="str">
        <f>RawData!D37</f>
        <v>양호</v>
      </c>
      <c r="E40" s="21" t="str">
        <f>RawData!E37</f>
        <v>-</v>
      </c>
      <c r="F40" s="21" t="str">
        <f>RawData!F37</f>
        <v>-</v>
      </c>
      <c r="G40" s="21">
        <f>RawData!G37</f>
        <v>2</v>
      </c>
      <c r="H40" s="21" t="str">
        <f>RawData!H37</f>
        <v>-</v>
      </c>
      <c r="I40" s="21">
        <f t="shared" si="0"/>
        <v>0</v>
      </c>
      <c r="J40" s="21">
        <f t="shared" si="1"/>
        <v>0</v>
      </c>
      <c r="K40" s="24" t="b">
        <f t="shared" si="2"/>
        <v>0</v>
      </c>
      <c r="L40" s="21">
        <f t="shared" si="3"/>
        <v>0</v>
      </c>
      <c r="M40" s="21">
        <f t="shared" si="4"/>
        <v>0</v>
      </c>
      <c r="N40" s="21">
        <f t="shared" si="5"/>
        <v>0</v>
      </c>
      <c r="O40" s="21" t="str">
        <f t="shared" si="6"/>
        <v>일반</v>
      </c>
      <c r="P40" s="21" t="str">
        <f>RawData!P37</f>
        <v>보도침하</v>
      </c>
    </row>
    <row r="41" spans="1:16">
      <c r="A41" s="21">
        <v>33</v>
      </c>
      <c r="B41" s="21" t="str">
        <f>RawData!B38</f>
        <v>강남대로</v>
      </c>
      <c r="C41" s="21" t="str">
        <f>RIGHT(RawData!$A$2,2)&amp;"-"&amp;RawData!$C$2&amp;"-"&amp;RawData!A38</f>
        <v>25-서초구-33</v>
      </c>
      <c r="D41" s="21" t="str">
        <f>RawData!D38</f>
        <v>양호</v>
      </c>
      <c r="E41" s="21" t="str">
        <f>RawData!E38</f>
        <v>거북등</v>
      </c>
      <c r="F41" s="21" t="str">
        <f>RawData!F38</f>
        <v>양호</v>
      </c>
      <c r="G41" s="21">
        <f>RawData!G38</f>
        <v>2</v>
      </c>
      <c r="H41" s="21" t="str">
        <f>RawData!H38</f>
        <v>-</v>
      </c>
      <c r="I41" s="21">
        <f t="shared" si="0"/>
        <v>0</v>
      </c>
      <c r="J41" s="21">
        <f t="shared" si="1"/>
        <v>3</v>
      </c>
      <c r="K41" s="21">
        <f t="shared" si="2"/>
        <v>0</v>
      </c>
      <c r="L41" s="21">
        <f t="shared" si="3"/>
        <v>0</v>
      </c>
      <c r="M41" s="21">
        <f t="shared" si="4"/>
        <v>0</v>
      </c>
      <c r="N41" s="21">
        <f t="shared" si="5"/>
        <v>3</v>
      </c>
      <c r="O41" s="21" t="str">
        <f t="shared" si="6"/>
        <v>일반</v>
      </c>
      <c r="P41" s="21">
        <f>RawData!P38</f>
        <v>0</v>
      </c>
    </row>
    <row r="42" spans="1:16">
      <c r="A42" s="21">
        <v>34</v>
      </c>
      <c r="B42" s="21" t="str">
        <f>RawData!B39</f>
        <v>강남대로</v>
      </c>
      <c r="C42" s="21" t="str">
        <f>RIGHT(RawData!$A$2,2)&amp;"-"&amp;RawData!$C$2&amp;"-"&amp;RawData!A39</f>
        <v>25-서초구-34</v>
      </c>
      <c r="D42" s="21" t="str">
        <f>RawData!D39</f>
        <v>양호</v>
      </c>
      <c r="E42" s="21" t="str">
        <f>RawData!E39</f>
        <v>거북등</v>
      </c>
      <c r="F42" s="21" t="str">
        <f>RawData!F39</f>
        <v>양호</v>
      </c>
      <c r="G42" s="21">
        <f>RawData!G39</f>
        <v>2</v>
      </c>
      <c r="H42" s="21" t="str">
        <f>RawData!H39</f>
        <v>-</v>
      </c>
      <c r="I42" s="21">
        <f t="shared" si="0"/>
        <v>0</v>
      </c>
      <c r="J42" s="21">
        <f t="shared" si="1"/>
        <v>3</v>
      </c>
      <c r="K42" s="21">
        <f t="shared" si="2"/>
        <v>0</v>
      </c>
      <c r="L42" s="21">
        <f t="shared" si="3"/>
        <v>0</v>
      </c>
      <c r="M42" s="21">
        <f t="shared" si="4"/>
        <v>0</v>
      </c>
      <c r="N42" s="21">
        <f t="shared" si="5"/>
        <v>3</v>
      </c>
      <c r="O42" s="21" t="str">
        <f t="shared" si="6"/>
        <v>일반</v>
      </c>
      <c r="P42" s="21">
        <f>RawData!P39</f>
        <v>0</v>
      </c>
    </row>
    <row r="43" spans="1:16">
      <c r="A43" s="21">
        <v>35</v>
      </c>
      <c r="B43" s="21" t="str">
        <f>RawData!B40</f>
        <v>강남대로</v>
      </c>
      <c r="C43" s="21" t="str">
        <f>RIGHT(RawData!$A$2,2)&amp;"-"&amp;RawData!$C$2&amp;"-"&amp;RawData!A40</f>
        <v>25-서초구-35</v>
      </c>
      <c r="D43" s="21" t="str">
        <f>RawData!D40</f>
        <v>양호</v>
      </c>
      <c r="E43" s="21" t="str">
        <f>RawData!E40</f>
        <v>거북등</v>
      </c>
      <c r="F43" s="21" t="str">
        <f>RawData!F40</f>
        <v>양호</v>
      </c>
      <c r="G43" s="21">
        <f>RawData!G40</f>
        <v>2</v>
      </c>
      <c r="H43" s="21" t="str">
        <f>RawData!H40</f>
        <v>-</v>
      </c>
      <c r="I43" s="21">
        <f t="shared" si="0"/>
        <v>0</v>
      </c>
      <c r="J43" s="21">
        <f t="shared" si="1"/>
        <v>3</v>
      </c>
      <c r="K43" s="21">
        <f t="shared" si="2"/>
        <v>0</v>
      </c>
      <c r="L43" s="21">
        <f t="shared" si="3"/>
        <v>0</v>
      </c>
      <c r="M43" s="21">
        <f t="shared" si="4"/>
        <v>0</v>
      </c>
      <c r="N43" s="21">
        <f t="shared" si="5"/>
        <v>3</v>
      </c>
      <c r="O43" s="21" t="str">
        <f t="shared" si="6"/>
        <v>일반</v>
      </c>
      <c r="P43" s="21">
        <f>RawData!P40</f>
        <v>0</v>
      </c>
    </row>
    <row r="44" spans="1:16">
      <c r="A44" s="21">
        <v>36</v>
      </c>
      <c r="B44" s="21" t="str">
        <f>RawData!B41</f>
        <v>강남대로</v>
      </c>
      <c r="C44" s="21" t="str">
        <f>RIGHT(RawData!$A$2,2)&amp;"-"&amp;RawData!$C$2&amp;"-"&amp;RawData!A41</f>
        <v>25-서초구-36</v>
      </c>
      <c r="D44" s="21" t="str">
        <f>RawData!D41</f>
        <v>양호</v>
      </c>
      <c r="E44" s="21" t="str">
        <f>RawData!E41</f>
        <v>거북등</v>
      </c>
      <c r="F44" s="21" t="str">
        <f>RawData!F41</f>
        <v>양호</v>
      </c>
      <c r="G44" s="21">
        <f>RawData!G41</f>
        <v>2</v>
      </c>
      <c r="H44" s="21" t="str">
        <f>RawData!H41</f>
        <v>-</v>
      </c>
      <c r="I44" s="21">
        <f t="shared" si="0"/>
        <v>0</v>
      </c>
      <c r="J44" s="21">
        <f t="shared" si="1"/>
        <v>3</v>
      </c>
      <c r="K44" s="21">
        <f t="shared" si="2"/>
        <v>0</v>
      </c>
      <c r="L44" s="21">
        <f t="shared" si="3"/>
        <v>0</v>
      </c>
      <c r="M44" s="21">
        <f t="shared" si="4"/>
        <v>0</v>
      </c>
      <c r="N44" s="21">
        <f t="shared" si="5"/>
        <v>3</v>
      </c>
      <c r="O44" s="21" t="str">
        <f t="shared" si="6"/>
        <v>일반</v>
      </c>
      <c r="P44" s="21">
        <f>RawData!P41</f>
        <v>0</v>
      </c>
    </row>
    <row r="45" spans="1:16">
      <c r="A45" s="21">
        <v>37</v>
      </c>
      <c r="B45" s="21" t="str">
        <f>RawData!B42</f>
        <v>강남대로</v>
      </c>
      <c r="C45" s="21" t="str">
        <f>RIGHT(RawData!$A$2,2)&amp;"-"&amp;RawData!$C$2&amp;"-"&amp;RawData!A42</f>
        <v>25-서초구-37</v>
      </c>
      <c r="D45" s="21" t="str">
        <f>RawData!D42</f>
        <v>양호</v>
      </c>
      <c r="E45" s="21" t="str">
        <f>RawData!E42</f>
        <v>거북등</v>
      </c>
      <c r="F45" s="21" t="str">
        <f>RawData!F42</f>
        <v>양호</v>
      </c>
      <c r="G45" s="21">
        <f>RawData!G42</f>
        <v>2</v>
      </c>
      <c r="H45" s="21" t="str">
        <f>RawData!H42</f>
        <v>-</v>
      </c>
      <c r="I45" s="21">
        <f t="shared" si="0"/>
        <v>0</v>
      </c>
      <c r="J45" s="21">
        <f t="shared" si="1"/>
        <v>3</v>
      </c>
      <c r="K45" s="21">
        <f t="shared" si="2"/>
        <v>0</v>
      </c>
      <c r="L45" s="21">
        <f t="shared" si="3"/>
        <v>0</v>
      </c>
      <c r="M45" s="21">
        <f t="shared" si="4"/>
        <v>0</v>
      </c>
      <c r="N45" s="21">
        <f t="shared" si="5"/>
        <v>3</v>
      </c>
      <c r="O45" s="21" t="str">
        <f t="shared" si="6"/>
        <v>일반</v>
      </c>
      <c r="P45" s="21">
        <f>RawData!P42</f>
        <v>0</v>
      </c>
    </row>
    <row r="46" spans="1:16">
      <c r="A46" s="21">
        <v>38</v>
      </c>
      <c r="B46" s="21" t="str">
        <f>RawData!B43</f>
        <v>강남대로</v>
      </c>
      <c r="C46" s="21" t="str">
        <f>RIGHT(RawData!$A$2,2)&amp;"-"&amp;RawData!$C$2&amp;"-"&amp;RawData!A43</f>
        <v>25-서초구-38</v>
      </c>
      <c r="D46" s="21" t="str">
        <f>RawData!D43</f>
        <v>보통</v>
      </c>
      <c r="E46" s="21" t="str">
        <f>RawData!E43</f>
        <v>-</v>
      </c>
      <c r="F46" s="21" t="str">
        <f>RawData!F43</f>
        <v>양호</v>
      </c>
      <c r="G46" s="21">
        <f>RawData!G43</f>
        <v>2</v>
      </c>
      <c r="H46" s="21" t="str">
        <f>RawData!H43</f>
        <v>-</v>
      </c>
      <c r="I46" s="21">
        <f t="shared" si="0"/>
        <v>9</v>
      </c>
      <c r="J46" s="21">
        <f t="shared" si="1"/>
        <v>0</v>
      </c>
      <c r="K46" s="21">
        <f t="shared" si="2"/>
        <v>0</v>
      </c>
      <c r="L46" s="21">
        <f t="shared" si="3"/>
        <v>0</v>
      </c>
      <c r="M46" s="21">
        <f t="shared" si="4"/>
        <v>0</v>
      </c>
      <c r="N46" s="21">
        <f t="shared" si="5"/>
        <v>9</v>
      </c>
      <c r="O46" s="21" t="str">
        <f t="shared" si="6"/>
        <v>긴급</v>
      </c>
      <c r="P46" s="21" t="str">
        <f>RawData!P43</f>
        <v>5cm이상 침하</v>
      </c>
    </row>
    <row r="47" spans="1:16">
      <c r="A47" s="21">
        <v>39</v>
      </c>
      <c r="B47" s="21" t="str">
        <f>RawData!B44</f>
        <v>강남대로</v>
      </c>
      <c r="C47" s="21" t="str">
        <f>RIGHT(RawData!$A$2,2)&amp;"-"&amp;RawData!$C$2&amp;"-"&amp;RawData!A44</f>
        <v>25-서초구-39</v>
      </c>
      <c r="D47" s="21" t="str">
        <f>RawData!D44</f>
        <v>양호</v>
      </c>
      <c r="E47" s="21" t="str">
        <f>RawData!E44</f>
        <v>거북등</v>
      </c>
      <c r="F47" s="21" t="str">
        <f>RawData!F44</f>
        <v>양호</v>
      </c>
      <c r="G47" s="21">
        <f>RawData!G44</f>
        <v>2</v>
      </c>
      <c r="H47" s="21" t="str">
        <f>RawData!H44</f>
        <v>-</v>
      </c>
      <c r="I47" s="21">
        <f t="shared" si="0"/>
        <v>0</v>
      </c>
      <c r="J47" s="21">
        <f t="shared" si="1"/>
        <v>3</v>
      </c>
      <c r="K47" s="21">
        <f t="shared" si="2"/>
        <v>0</v>
      </c>
      <c r="L47" s="21">
        <f t="shared" si="3"/>
        <v>0</v>
      </c>
      <c r="M47" s="21">
        <f t="shared" si="4"/>
        <v>0</v>
      </c>
      <c r="N47" s="21">
        <f t="shared" si="5"/>
        <v>3</v>
      </c>
      <c r="O47" s="21" t="str">
        <f t="shared" si="6"/>
        <v>일반</v>
      </c>
      <c r="P47" s="21">
        <f>RawData!P44</f>
        <v>0</v>
      </c>
    </row>
    <row r="48" spans="1:16">
      <c r="A48" s="21">
        <v>40</v>
      </c>
      <c r="B48" s="21" t="str">
        <f>RawData!B45</f>
        <v>강남대로</v>
      </c>
      <c r="C48" s="21" t="str">
        <f>RIGHT(RawData!$A$2,2)&amp;"-"&amp;RawData!$C$2&amp;"-"&amp;RawData!A45</f>
        <v>25-서초구-40</v>
      </c>
      <c r="D48" s="21" t="str">
        <f>RawData!D45</f>
        <v>양호</v>
      </c>
      <c r="E48" s="21" t="str">
        <f>RawData!E45</f>
        <v>거북등</v>
      </c>
      <c r="F48" s="21" t="str">
        <f>RawData!F45</f>
        <v>양호</v>
      </c>
      <c r="G48" s="21">
        <f>RawData!G45</f>
        <v>2</v>
      </c>
      <c r="H48" s="21" t="str">
        <f>RawData!H45</f>
        <v>-</v>
      </c>
      <c r="I48" s="21">
        <f t="shared" si="0"/>
        <v>0</v>
      </c>
      <c r="J48" s="21">
        <f t="shared" si="1"/>
        <v>3</v>
      </c>
      <c r="K48" s="21">
        <f t="shared" si="2"/>
        <v>0</v>
      </c>
      <c r="L48" s="21">
        <f t="shared" si="3"/>
        <v>0</v>
      </c>
      <c r="M48" s="21">
        <f t="shared" si="4"/>
        <v>0</v>
      </c>
      <c r="N48" s="21">
        <f t="shared" si="5"/>
        <v>3</v>
      </c>
      <c r="O48" s="21" t="str">
        <f t="shared" si="6"/>
        <v>일반</v>
      </c>
      <c r="P48" s="21" t="str">
        <f>RawData!P45</f>
        <v>5cm미만 침하</v>
      </c>
    </row>
    <row r="49" spans="1:16">
      <c r="A49" s="21"/>
      <c r="B49" s="21"/>
      <c r="C49" s="21"/>
      <c r="D49" s="21"/>
      <c r="E49" s="21"/>
      <c r="F49" s="21"/>
      <c r="G49" s="21"/>
      <c r="H49" s="21"/>
      <c r="I49" s="21"/>
      <c r="J49" s="21"/>
      <c r="K49" s="21"/>
      <c r="L49" s="21"/>
      <c r="M49" s="21"/>
      <c r="N49" s="21"/>
      <c r="O49" s="21"/>
      <c r="P49" s="21"/>
    </row>
    <row r="50" spans="1:16">
      <c r="A50" s="21"/>
      <c r="B50" s="21"/>
      <c r="C50" s="21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</row>
  </sheetData>
  <mergeCells count="20">
    <mergeCell ref="N7:N8"/>
    <mergeCell ref="O7:O8"/>
    <mergeCell ref="P7:P8"/>
    <mergeCell ref="A7:A8"/>
    <mergeCell ref="B7:B8"/>
    <mergeCell ref="C7:C8"/>
    <mergeCell ref="D7:H7"/>
    <mergeCell ref="I7:M7"/>
    <mergeCell ref="M4:P4"/>
    <mergeCell ref="A5:B5"/>
    <mergeCell ref="C5:D5"/>
    <mergeCell ref="E5:F5"/>
    <mergeCell ref="G5:I5"/>
    <mergeCell ref="J5:L5"/>
    <mergeCell ref="M5:P5"/>
    <mergeCell ref="A4:B4"/>
    <mergeCell ref="C4:D4"/>
    <mergeCell ref="E4:F4"/>
    <mergeCell ref="G4:I4"/>
    <mergeCell ref="J4:L4"/>
  </mergeCells>
  <phoneticPr fontId="9" type="noConversion"/>
  <pageMargins left="0.7" right="0.7" top="0.75" bottom="0.75" header="0.511811023622047" footer="0.511811023622047"/>
  <pageSetup paperSize="9" scale="83" orientation="landscape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9"/>
  <sheetViews>
    <sheetView view="pageBreakPreview" zoomScaleNormal="100" workbookViewId="0">
      <selection activeCell="G4" sqref="G4"/>
    </sheetView>
  </sheetViews>
  <sheetFormatPr defaultColWidth="10.375" defaultRowHeight="12"/>
  <cols>
    <col min="1" max="16384" width="10.375" style="3"/>
  </cols>
  <sheetData>
    <row r="1" spans="1:12">
      <c r="A1" s="3" t="s">
        <v>0</v>
      </c>
      <c r="B1" s="3" t="s">
        <v>1</v>
      </c>
      <c r="C1" s="3" t="s">
        <v>2</v>
      </c>
      <c r="F1" s="3" t="s">
        <v>24</v>
      </c>
      <c r="G1" s="3" t="s">
        <v>70</v>
      </c>
      <c r="H1" s="3" t="s">
        <v>91</v>
      </c>
      <c r="J1" s="3" t="s">
        <v>92</v>
      </c>
      <c r="K1" s="3" t="s">
        <v>17</v>
      </c>
      <c r="L1" s="3" t="s">
        <v>93</v>
      </c>
    </row>
    <row r="2" spans="1:12">
      <c r="A2" s="3">
        <v>2018</v>
      </c>
      <c r="B2" s="3" t="s">
        <v>3</v>
      </c>
      <c r="C2" s="3" t="s">
        <v>94</v>
      </c>
      <c r="E2" s="3" t="s">
        <v>13</v>
      </c>
      <c r="F2" s="3">
        <v>0</v>
      </c>
      <c r="G2" s="3">
        <v>3</v>
      </c>
      <c r="H2" s="3">
        <v>9</v>
      </c>
      <c r="J2" s="25" t="s">
        <v>95</v>
      </c>
      <c r="K2" s="3" t="s">
        <v>96</v>
      </c>
      <c r="L2" s="25" t="s">
        <v>25</v>
      </c>
    </row>
    <row r="3" spans="1:12">
      <c r="A3" s="3">
        <v>2019</v>
      </c>
      <c r="B3" s="3" t="s">
        <v>97</v>
      </c>
      <c r="C3" s="3" t="s">
        <v>4</v>
      </c>
      <c r="E3" s="3" t="s">
        <v>9</v>
      </c>
      <c r="F3" s="3">
        <v>0</v>
      </c>
      <c r="G3" s="3">
        <v>1</v>
      </c>
      <c r="H3" s="3">
        <v>3</v>
      </c>
      <c r="J3" s="25" t="s">
        <v>98</v>
      </c>
      <c r="K3" s="3" t="s">
        <v>99</v>
      </c>
      <c r="L3" s="3" t="s">
        <v>100</v>
      </c>
    </row>
    <row r="4" spans="1:12">
      <c r="A4" s="3">
        <v>2020</v>
      </c>
      <c r="B4" s="3" t="s">
        <v>101</v>
      </c>
      <c r="C4" s="3" t="s">
        <v>102</v>
      </c>
      <c r="E4" s="3" t="s">
        <v>10</v>
      </c>
      <c r="F4" s="3">
        <v>0</v>
      </c>
      <c r="G4" s="26" t="s">
        <v>103</v>
      </c>
      <c r="H4" s="3">
        <v>9</v>
      </c>
      <c r="J4" s="25" t="s">
        <v>104</v>
      </c>
      <c r="K4" s="3" t="s">
        <v>105</v>
      </c>
      <c r="L4" s="3" t="s">
        <v>100</v>
      </c>
    </row>
    <row r="5" spans="1:12">
      <c r="A5" s="3">
        <v>2021</v>
      </c>
      <c r="C5" s="3" t="s">
        <v>106</v>
      </c>
      <c r="E5" s="3" t="s">
        <v>14</v>
      </c>
      <c r="F5" s="3">
        <v>0</v>
      </c>
      <c r="G5" s="3">
        <v>1</v>
      </c>
      <c r="H5" s="3">
        <v>2</v>
      </c>
    </row>
    <row r="6" spans="1:12">
      <c r="A6" s="3">
        <v>2022</v>
      </c>
      <c r="C6" s="3" t="s">
        <v>107</v>
      </c>
      <c r="E6" s="3" t="s">
        <v>108</v>
      </c>
      <c r="F6" s="3">
        <v>0</v>
      </c>
      <c r="G6" s="3">
        <v>1</v>
      </c>
      <c r="H6" s="3">
        <v>1</v>
      </c>
    </row>
    <row r="7" spans="1:12">
      <c r="A7" s="3">
        <v>2023</v>
      </c>
    </row>
    <row r="8" spans="1:12">
      <c r="A8" s="3">
        <v>2024</v>
      </c>
    </row>
    <row r="9" spans="1:12">
      <c r="A9" s="3">
        <v>2025</v>
      </c>
    </row>
  </sheetData>
  <phoneticPr fontId="9" type="noConversion"/>
  <pageMargins left="0.7" right="0.7" top="0.75" bottom="0.75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4</vt:i4>
      </vt:variant>
      <vt:variant>
        <vt:lpstr>이름 지정된 범위</vt:lpstr>
      </vt:variant>
      <vt:variant>
        <vt:i4>4</vt:i4>
      </vt:variant>
    </vt:vector>
  </HeadingPairs>
  <TitlesOfParts>
    <vt:vector size="8" baseType="lpstr">
      <vt:lpstr>RawData</vt:lpstr>
      <vt:lpstr>V1</vt:lpstr>
      <vt:lpstr>V2</vt:lpstr>
      <vt:lpstr>범례</vt:lpstr>
      <vt:lpstr>RawData!Print_Area</vt:lpstr>
      <vt:lpstr>'V1'!Print_Area</vt:lpstr>
      <vt:lpstr>'V2'!Print_Area</vt:lpstr>
      <vt:lpstr>'V1'!Print_Titles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dc:description/>
  <cp:lastModifiedBy>User</cp:lastModifiedBy>
  <cp:revision>0</cp:revision>
  <cp:lastPrinted>2026-03-16T02:30:46Z</cp:lastPrinted>
  <dcterms:created xsi:type="dcterms:W3CDTF">2026-03-16T00:57:17Z</dcterms:created>
  <dcterms:modified xsi:type="dcterms:W3CDTF">2026-03-25T00:20:53Z</dcterms:modified>
  <dc:language>en-US</dc:language>
</cp:coreProperties>
</file>